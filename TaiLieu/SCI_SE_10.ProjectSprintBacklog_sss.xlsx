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<sst xmlns="http://schemas.openxmlformats.org/spreadsheetml/2006/main" count="546" uniqueCount="253">
  <si>
    <t>Project name:</t>
  </si>
  <si>
    <t>Xây dựng hệ thống quản lý bất động sản tích hợp AI định giá thông minh</t>
  </si>
  <si>
    <t>Module name:</t>
  </si>
  <si>
    <t>Sprint 1</t>
  </si>
  <si>
    <t>Kết thúc đúng hạn</t>
  </si>
  <si>
    <t>Start date:</t>
  </si>
  <si>
    <t>Muộn</t>
  </si>
  <si>
    <t>End date:</t>
  </si>
  <si>
    <t>Trước thời hạn</t>
  </si>
  <si>
    <t>SPRINT 1 REPORT</t>
  </si>
  <si>
    <t>No</t>
  </si>
  <si>
    <t>Thành viên</t>
  </si>
  <si>
    <t>Thực tế</t>
  </si>
  <si>
    <t>Ước tính</t>
  </si>
  <si>
    <t>Võ Trần Tấn Phú</t>
  </si>
  <si>
    <t>Mai Song Việt</t>
  </si>
  <si>
    <t>Hoàng Anh Nguyên Vũ</t>
  </si>
  <si>
    <t>Trần Văn Nhật</t>
  </si>
  <si>
    <t>Mai Hoàng Phúc Thảo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</si>
  <si>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</si>
  <si>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</si>
  <si>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</si>
  <si>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</si>
  <si>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</si>
  <si>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</si>
  <si>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</si>
  <si>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</si>
  <si>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Phú</t>
  </si>
  <si>
    <t>Tạo tài liệu kiểm thử cho Sprint</t>
  </si>
  <si>
    <t>Vũ</t>
  </si>
  <si>
    <t>Thiết kế giao diện</t>
  </si>
  <si>
    <t xml:space="preserve">Thiết kế giao diện Đăng nhập </t>
  </si>
  <si>
    <t>Việt</t>
  </si>
  <si>
    <t>Thiết kế giao diện Đăng xuất</t>
  </si>
  <si>
    <t>Thiết kế giao diện Đăng ký</t>
  </si>
  <si>
    <t>Thiết kế giao diện Quên mật khẩu</t>
  </si>
  <si>
    <t>Thiết kế giao diện Trang Chủ</t>
  </si>
  <si>
    <t>Thiết kế giao diện Cập nhật tài khoản</t>
  </si>
  <si>
    <t>Thiết kế giao diện Tìm kiếm bất động sản</t>
  </si>
  <si>
    <t>Thiết kế giao diện Xem chi tiết bất động sản</t>
  </si>
  <si>
    <t>Thiết kế giao diện Xem BĐS theo khu vực, bản đồ BĐS, tìm gần vị trí</t>
  </si>
  <si>
    <t>Thiết kế giao diện Thả tim, bỏ tim (tương tác bài đăng BĐS)</t>
  </si>
  <si>
    <t>Review of Sprint 1</t>
  </si>
  <si>
    <t>Thiết kế test case</t>
  </si>
  <si>
    <t>Thiết kế test case Đăng nhập</t>
  </si>
  <si>
    <t>Thiết kế test case Đăng xuất</t>
  </si>
  <si>
    <t>Thiết kế test case Đăng ký</t>
  </si>
  <si>
    <t>Thiết kế test case Quên mật khẩu</t>
  </si>
  <si>
    <t>Thiết kế test case Trang chủ</t>
  </si>
  <si>
    <t>Thiết kế test case Cập nhật tài khoản</t>
  </si>
  <si>
    <t>Thiết kế test case Tìm kiếm bất động sản</t>
  </si>
  <si>
    <t>Thiết kế test case Xem chi tiết bất động sản</t>
  </si>
  <si>
    <t>Thiết kế test case Xem BĐS theo khu vực, bản đồ BĐS, tìm gần vị trí</t>
  </si>
  <si>
    <t>Thiết kế test case Thả tim, bỏ tim (tương tác bài đăng BĐS)</t>
  </si>
  <si>
    <t>Review all test case of Sprint 1</t>
  </si>
  <si>
    <t>Coding</t>
  </si>
  <si>
    <t>Code BE – Đăng ký</t>
  </si>
  <si>
    <t>Code BE – Đăng nhập</t>
  </si>
  <si>
    <t>Code BE – Đăng xuất</t>
  </si>
  <si>
    <t>Code BE – Quên mật khẩu</t>
  </si>
  <si>
    <t>Code BE – Trang chủ</t>
  </si>
  <si>
    <t>Code BE – Cập nhật tài khoản</t>
  </si>
  <si>
    <t>Code BE – Tìm kiếm bất động sản</t>
  </si>
  <si>
    <t>Code BE – Xem chi tiết bất động sản</t>
  </si>
  <si>
    <t>Việt , Phú</t>
  </si>
  <si>
    <t>Code BE – Xem BĐS theo khu vực, bản đồ, tìm gần vị trí</t>
  </si>
  <si>
    <t>Code BE – Thả tim, bỏ tim (tương tác bài đăng BĐS)</t>
  </si>
  <si>
    <t>Code FE – Đăng ký</t>
  </si>
  <si>
    <t>Code FE – Đăng nhập</t>
  </si>
  <si>
    <t>Thảo, Phú</t>
  </si>
  <si>
    <t>Code FE – Đăng xuất</t>
  </si>
  <si>
    <t>Code FE – Quên mật khẩu</t>
  </si>
  <si>
    <t>Code FE – Trang chủ</t>
  </si>
  <si>
    <t>Code FE – Cập nhật tài khoản</t>
  </si>
  <si>
    <t>Code FE – Tìm kiếm bất động sản</t>
  </si>
  <si>
    <t>Code FE – Xem chi tiết bất động sản</t>
  </si>
  <si>
    <t>Code FE – Xem BĐS theo khu vực, bản đồ, tìm gần vị trí</t>
  </si>
  <si>
    <t>Code FE – Thả tim, bỏ tim (tương tác bài đăng BĐS)</t>
  </si>
  <si>
    <t>Integrate Code</t>
  </si>
  <si>
    <t>Testing</t>
  </si>
  <si>
    <t>Test Đăng ký</t>
  </si>
  <si>
    <t>Test Đăng nhập</t>
  </si>
  <si>
    <t>Test Đăng xuất</t>
  </si>
  <si>
    <t>Test Quên mật khẩu</t>
  </si>
  <si>
    <t>Test Trang chủ</t>
  </si>
  <si>
    <t>Test Cập nhật tài khoản</t>
  </si>
  <si>
    <t>Test Tìm kiếm bất động sản</t>
  </si>
  <si>
    <t>Test Xem chi tiết bất động sản</t>
  </si>
  <si>
    <t>Test Xem BĐS theo khu vực, bản đồ, tìm gần vị trí</t>
  </si>
  <si>
    <t>Test Thả tim, bỏ tim (tương tác bài đăng BĐS)</t>
  </si>
  <si>
    <t>Fix Bug</t>
  </si>
  <si>
    <t>Fix bug Đăng ký</t>
  </si>
  <si>
    <t>Fix bug Đăng nhập</t>
  </si>
  <si>
    <t>Fix bug Đăng xuất</t>
  </si>
  <si>
    <t>Fix bug Quên mật khẩu</t>
  </si>
  <si>
    <t>Fix bug Trang chủ</t>
  </si>
  <si>
    <t>Fix bug Cập nhật tài khoản</t>
  </si>
  <si>
    <t>Fix bug Tìm kiếm bất động sản</t>
  </si>
  <si>
    <t>Fix bug Xem chi tiết bất động sản</t>
  </si>
  <si>
    <t>Fix bug Xem BĐS theo khu vực, bản đồ, tìm gần vị trí</t>
  </si>
  <si>
    <t>Fix bug Thả tim, bỏ tim</t>
  </si>
  <si>
    <t>Việt ,Vũ</t>
  </si>
  <si>
    <t>Re-testing</t>
  </si>
  <si>
    <t>Re-test Đăng ký</t>
  </si>
  <si>
    <t>Re-test Đăng nhập</t>
  </si>
  <si>
    <t>Re-test Đăng xuất</t>
  </si>
  <si>
    <t>Re-test Quên mật khẩu</t>
  </si>
  <si>
    <t>Re-test Trang chủ</t>
  </si>
  <si>
    <t>Re-test Cập nhật tài khoản</t>
  </si>
  <si>
    <t>Re-test Tìm kiếm bất động sản</t>
  </si>
  <si>
    <t>Re-test Xem chi tiết bất động sản</t>
  </si>
  <si>
    <t>Re-test Xem BĐS theo khu vực, bản đồ, tìm gần vị trí</t>
  </si>
  <si>
    <t>Re-test Thả tim, bỏ tim</t>
  </si>
  <si>
    <t>Release Sprint 1</t>
  </si>
  <si>
    <t>Sprint 1 review meeting</t>
  </si>
  <si>
    <t>Sprint 1 retrospective</t>
  </si>
  <si>
    <t>Sprint 2</t>
  </si>
  <si>
    <t>SPRINT 2 REPORT</t>
  </si>
  <si>
    <t>Tạo Sprint Backlog 2</t>
  </si>
  <si>
    <t>Thiết kế giao diện DS tin của tôi, tạo, sửa, xóa, upload ảnh, chọn ảnh đại diện</t>
  </si>
  <si>
    <t>Thiết kế giao diện Quản lý bài đăng</t>
  </si>
  <si>
    <t>Thiết kế giao diện Xem gói tin, mua gói tin, kích hoạt số tin</t>
  </si>
  <si>
    <t>Thiết kế giao diện Thanh toán SePay</t>
  </si>
  <si>
    <t xml:space="preserve">Thiết kế giao diện Quản lý giao dịch và gói tin </t>
  </si>
  <si>
    <t>Thiết kế giao diện Xem khách hàng thả tim gần đây</t>
  </si>
  <si>
    <t>Thiết kế giao diện Thông báo tương tác bài đăng</t>
  </si>
  <si>
    <t>Thiết kế giao diện Quản lý khách hàng</t>
  </si>
  <si>
    <t>Thiết kế giao diện Quản lý môi giới (Admin)</t>
  </si>
  <si>
    <t>Review all UI of Sprint 2</t>
  </si>
  <si>
    <t>Thiết kế test case DS tin của tôi, tạo, sửa, xóa, upload ảnh, chọn ảnh đại diện</t>
  </si>
  <si>
    <t>Nhật</t>
  </si>
  <si>
    <t>Thiết kế test case Quản lý bài đăng</t>
  </si>
  <si>
    <t>Thảo</t>
  </si>
  <si>
    <t>Thiết kế test case Xem gói tin, mua gói tin, kích hoạt số tin</t>
  </si>
  <si>
    <t>Thiết kế test case Thanh toán SePay</t>
  </si>
  <si>
    <t>Thiết kế test case Quản lý giao dịch và gói tin</t>
  </si>
  <si>
    <t>Thiết kế test case Xem khách hàng thả tim gần đây</t>
  </si>
  <si>
    <t>Thiết kế test case Thông báo tương tác bài đăng</t>
  </si>
  <si>
    <t>Thiết kế test case Quản lý khách hàng (Admin)</t>
  </si>
  <si>
    <t>Thiết kế test case Quản lý môi giới (Admin)</t>
  </si>
  <si>
    <t>Review all test case of Sprint 2</t>
  </si>
  <si>
    <t>Code BE – DS tin, tạo, sửa, xóa, upload ảnh, ảnh đại diện</t>
  </si>
  <si>
    <t>Code BE – Quản lý bài đăng</t>
  </si>
  <si>
    <t xml:space="preserve">Việt , Nhật </t>
  </si>
  <si>
    <t>Code BE – Xem gói tin, mua gói tin, kích hoạt số tin</t>
  </si>
  <si>
    <t>Code BE – Thanh toán SePay</t>
  </si>
  <si>
    <t>Code BE – Quản lý giao dịch và gói tin (Admin)</t>
  </si>
  <si>
    <t>Code BE – Xem khách hàng thả tim gần đây</t>
  </si>
  <si>
    <t>Code BE – Thông báo tương tác bài đăng</t>
  </si>
  <si>
    <t>Code BE – Quản lý khách hàng (Admin)</t>
  </si>
  <si>
    <t>Code BE – Quản lý môi giới (Admin)</t>
  </si>
  <si>
    <t>Code FE – DS tin, tạo, sửa, xóa, upload ảnh, ảnh đại diện</t>
  </si>
  <si>
    <t>Code FE – Quản lý bài đăng</t>
  </si>
  <si>
    <t>Code FE – Xem gói tin, mua gói tin, kích hoạt số tin</t>
  </si>
  <si>
    <t>Code FE – Thanh toán SePay</t>
  </si>
  <si>
    <t>Code FE – Quản lý giao dịch và gói tin (Admin)</t>
  </si>
  <si>
    <t>Code FE – Xem khách hàng thả tim gần đây</t>
  </si>
  <si>
    <t>Code FE – Thông báo tương tác bài đăng</t>
  </si>
  <si>
    <t>Code FE – Quản lý khách hàng (Admin)</t>
  </si>
  <si>
    <t>Phú , Thảo</t>
  </si>
  <si>
    <t>Code FE – Quản lý môi giới (Admin)</t>
  </si>
  <si>
    <t>Integrate code</t>
  </si>
  <si>
    <t>Test DS tin, tạo, sửa, xóa, upload ảnh, ảnh đại diện</t>
  </si>
  <si>
    <t>Test Xem gói tin, mua gói tin, kích hoạt số tin</t>
  </si>
  <si>
    <t>Test Thanh toán SePay</t>
  </si>
  <si>
    <t>Test Quản lý giao dịch và gói tin (Admin)</t>
  </si>
  <si>
    <t>Test Quản lý bài đăng</t>
  </si>
  <si>
    <t>Test Xem khách hàng thả tim gần đây</t>
  </si>
  <si>
    <t>Test Thông báo tương tác bài đăng</t>
  </si>
  <si>
    <t>Test Quản lý khách hàng (Admin)</t>
  </si>
  <si>
    <t>Test Quản lý môi giới (Admin)</t>
  </si>
  <si>
    <t>Fix bug DS tin, tạo, sửa, xóa, upload ảnh, ảnh đại diện</t>
  </si>
  <si>
    <t>Fix bug Xem gói tin, mua gói tin, kích hoạt số tin</t>
  </si>
  <si>
    <t>Fix bug Thanh toán SePay</t>
  </si>
  <si>
    <t>Fix bug Quản lý giao dịch và gói tin (Admin)</t>
  </si>
  <si>
    <t>Fix bug Quản lý bài đăng</t>
  </si>
  <si>
    <t>Fix bug Xem khách hàng thả tim gần đây</t>
  </si>
  <si>
    <t>Fix bug Thông báo tương tác bài đăng</t>
  </si>
  <si>
    <t>Fix bug Quản lý khách hàng (Admin)</t>
  </si>
  <si>
    <t>Fix bug Quản lý môi giới (Admin)</t>
  </si>
  <si>
    <t>Re-test DS tin, tạo, sửa, xóa, upload ảnh, ảnh đại diện</t>
  </si>
  <si>
    <t>Re-test Xem gói tin, mua gói tin, kích hoạt số tin</t>
  </si>
  <si>
    <t>Re-test Thanh toán SePay</t>
  </si>
  <si>
    <t>Re-test Quản lý giao dịch và gói tin (Admin)</t>
  </si>
  <si>
    <t>Re-test Quản lý bài đăng</t>
  </si>
  <si>
    <t>Re-test Xem khách hàng thả tim gần đây</t>
  </si>
  <si>
    <t>Re-test Thông báo tương tác bài đăng</t>
  </si>
  <si>
    <t>Re-test Quản lý khách hàng (Admin)</t>
  </si>
  <si>
    <t>Re-test Quản lý môi giới (Admin)</t>
  </si>
  <si>
    <t>Release Sprint 2</t>
  </si>
  <si>
    <t>Sprint 2 review meeting</t>
  </si>
  <si>
    <t>Sprint 2 retrospective</t>
  </si>
  <si>
    <t>Sprint 3</t>
  </si>
  <si>
    <t>SPRINT 3 REPORT</t>
  </si>
  <si>
    <t>Tạo Sprint Backlog 3</t>
  </si>
  <si>
    <t>Thiết kế giao diện AI định giá bất động sản, Chatbot tư vấn</t>
  </si>
  <si>
    <t>Thiết kế giao diện Loại BĐS, tỉnh thành, quận huyện, phường xã</t>
  </si>
  <si>
    <t>Thiết kế giao diện DS, tìm kiếm, chi tiết, duyệt tin, đổi trạng thái, xóa</t>
  </si>
  <si>
    <t>Thiết kế giao diện Quản lý mua gói đã bán</t>
  </si>
  <si>
    <t>Thiết kế giao diện Chức vụ, chức năng, phân quyền theo chức vụ</t>
  </si>
  <si>
    <t>Thiết kế giao diện CRUD gói tin, lịch sử mua gói</t>
  </si>
  <si>
    <t>Thiết kế giao diện Biểu đồ doanh thu, yêu thích gần đây, mua gói gần đây</t>
  </si>
  <si>
    <t>Review all user interfaces of Sprint 3</t>
  </si>
  <si>
    <t>Thiết kế test case AI định giá bất động sản, Chatbot tư vấn</t>
  </si>
  <si>
    <t>Thiết kế test case Loại BĐS, tỉnh thành, quận huyện, phường xã</t>
  </si>
  <si>
    <t>Thiết kế test case DS, tìm kiếm, chi tiết, duyệt tin, đổi trạng thái, xóa</t>
  </si>
  <si>
    <t>Thiết kế test case Quản lý mua gói đã bán</t>
  </si>
  <si>
    <t>Thiết kế test case Chức vụ, chức năng, phân quyền theo chức vụ</t>
  </si>
  <si>
    <t>Thiết kế test case CRUD gói tin, lịch sử mua gói</t>
  </si>
  <si>
    <t>Thiết kế test case Biểu đồ doanh thu, yêu thích gần đây, mua gói gần đây</t>
  </si>
  <si>
    <t>Review all test case of Sprint 3</t>
  </si>
  <si>
    <t>Code BE - AI định giá bất động sản, Chatbot tư vấn</t>
  </si>
  <si>
    <t>Code BE - Loại BĐS, tỉnh thành, quận huyện</t>
  </si>
  <si>
    <t>Code BE - Danh sách, tìm kiếm, chi tiết, duyệt tin, đổi trạng thái, xóa</t>
  </si>
  <si>
    <t>Việt , Nhật</t>
  </si>
  <si>
    <t>Code BE - Quản lý mua gói đã bán</t>
  </si>
  <si>
    <t>Code BE - Chức vụ, chức năng, phân quyền theo chức vụ</t>
  </si>
  <si>
    <t>Code BE - CRUD gói tin, lịch sử mua gói</t>
  </si>
  <si>
    <t>Code BE - Biểu đồ doanh thu, yêu thích gần đây, mua gói gần đây</t>
  </si>
  <si>
    <t>Code FE - AI định giá bất động sản, Chatbot tư vấn</t>
  </si>
  <si>
    <t>Phú , Nhật</t>
  </si>
  <si>
    <t>Code FE - Loại BĐS, tỉnh thành, quận huyện</t>
  </si>
  <si>
    <t>Code FE - Danh sách, tìm kiếm, chi tiết, duyệt tin, đổi trạng thái, xóa</t>
  </si>
  <si>
    <t>Code FE - Quản lý mua gói đã bán</t>
  </si>
  <si>
    <t>Code FE – Chức vụ, chức năng, phân quyền theo chức vụ</t>
  </si>
  <si>
    <t>Code FE - CRUD gói tin, lịch sử mua gói</t>
  </si>
  <si>
    <t>Code FE - Biểu đồ doanh thu, yêu thích gần đây, mua gói gần đây</t>
  </si>
  <si>
    <t>Test AI định giá bất động sản, Chatbot tư vấn</t>
  </si>
  <si>
    <t>Test Loại BĐS, tỉnh thành, quận huyện</t>
  </si>
  <si>
    <t>Test Danh sách, tìm kiếm, chi tiết, duyệt tin, đổi trạng thái, xóa</t>
  </si>
  <si>
    <t>Test Quản lý mua gói đã bán</t>
  </si>
  <si>
    <t>Test Chức vụ, chức năng, phân quyền theo chức vụ</t>
  </si>
  <si>
    <t>Test CRUD gói tin, lịch sử mua gói</t>
  </si>
  <si>
    <t>Test Biểu đồ doanh thu, yêu thích gần đây, mua gói gần đây</t>
  </si>
  <si>
    <t>Fix bug Fix bug AI định giá bất động sản, Chatbot tư vấn</t>
  </si>
  <si>
    <t>Fix bug Loại BĐS, tỉnh thành, quận huyện</t>
  </si>
  <si>
    <t>Fix bug Danh sách, tìm kiếm, chi tiết, duyệt tin, đổi trạng thái, xóa</t>
  </si>
  <si>
    <t>Fix bug Quản lý mua gói đã bán</t>
  </si>
  <si>
    <t>Fix bug Chức vụ, chức năng, phân quyền theo chức vụ</t>
  </si>
  <si>
    <t>Fix bug CRUD gói tin, lịch sử mua gói</t>
  </si>
  <si>
    <t>Fix bug Biểu đồ doanh thu, yêu thích gần đây, mua gói gần đây</t>
  </si>
  <si>
    <t>Re-test AI định giá bất động sản, Chatbot tư vấn</t>
  </si>
  <si>
    <t>Re-test Loại BĐS, tỉnh thành, quận huyện</t>
  </si>
  <si>
    <t>Re-test Danh sách, tìm kiếm, chi tiết, duyệt tin, đổi trạng thái, xóa</t>
  </si>
  <si>
    <t>Re-test Quản lý mua gói đã bán</t>
  </si>
  <si>
    <t>Re-test Chức vụ, chức năng, phân quyền theo chức vụ</t>
  </si>
  <si>
    <t>Re-test CRUD gói tin, lịch sử mua gói</t>
  </si>
  <si>
    <t>Re-test Biểu đồ doanh thu, yêu thích gần đây, mua gói gần đây</t>
  </si>
  <si>
    <t>Release Sprint 3</t>
  </si>
  <si>
    <t>Sprint 3 Review Meeting</t>
  </si>
  <si>
    <t>Sprint 3 Retrospective</t>
  </si>
  <si>
    <t>SPRINT BACKLOG REPORT</t>
  </si>
  <si>
    <t>FINAL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</si>
</sst>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dd/mm"/>
  </numFmts>
  <fonts count="26">
    <font>
      <sz val="11"/>
      <color theme="1"/>
      <name val="Calibri"/>
      <charset val="163"/>
      <scheme val="minor"/>
    </font>
    <font>
      <b/>
      <sz val="13"/>
      <color theme="1"/>
      <name val="Times New Roman"/>
      <charset val="163"/>
    </font>
    <font>
      <sz val="13"/>
      <color theme="1"/>
      <name val="Times New Roman"/>
      <charset val="163"/>
    </font>
    <font>
      <sz val="13"/>
      <color theme="1"/>
      <name val="Calibri"/>
      <charset val="163"/>
      <scheme val="minor"/>
    </font>
    <font>
      <sz val="13"/>
      <name val="Times New Roman"/>
      <charset val="163"/>
    </font>
    <font>
      <sz val="13"/>
      <color rgb="FF000000"/>
      <name val="Times New Roman"/>
      <charset val="163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89013336588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21" applyNumberFormat="0" applyAlignment="0" applyProtection="0">
      <alignment vertical="center"/>
    </xf>
    <xf numFmtId="0" fontId="16" fillId="13" borderId="22" applyNumberFormat="0" applyAlignment="0" applyProtection="0">
      <alignment vertical="center"/>
    </xf>
    <xf numFmtId="0" fontId="17" fillId="13" borderId="21" applyNumberFormat="0" applyAlignment="0" applyProtection="0">
      <alignment vertical="center"/>
    </xf>
    <xf numFmtId="0" fontId="18" fillId="14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0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58" fontId="2" fillId="0" borderId="1" xfId="0" applyNumberFormat="1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7" borderId="1" xfId="0" applyFont="1" applyFill="1" applyBorder="1"/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1" xfId="0" applyFont="1" applyBorder="1" applyAlignment="1">
      <alignment textRotation="90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9" xfId="0" applyFont="1" applyBorder="1"/>
    <xf numFmtId="0" fontId="2" fillId="0" borderId="2" xfId="0" applyFont="1" applyBorder="1" applyAlignment="1">
      <alignment horizontal="left"/>
    </xf>
    <xf numFmtId="180" fontId="1" fillId="0" borderId="1" xfId="0" applyNumberFormat="1" applyFont="1" applyBorder="1" applyAlignment="1">
      <alignment textRotation="90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/>
    <xf numFmtId="0" fontId="2" fillId="6" borderId="1" xfId="0" applyFont="1" applyFill="1" applyBorder="1"/>
    <xf numFmtId="0" fontId="5" fillId="4" borderId="10" xfId="0" applyFont="1" applyFill="1" applyBorder="1"/>
    <xf numFmtId="0" fontId="5" fillId="0" borderId="10" xfId="0" applyFont="1" applyBorder="1"/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2" fillId="6" borderId="9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4" fillId="5" borderId="1" xfId="0" applyFont="1" applyFill="1" applyBorder="1"/>
    <xf numFmtId="180" fontId="1" fillId="0" borderId="0" xfId="0" applyNumberFormat="1" applyFont="1" applyAlignment="1">
      <alignment textRotation="90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13" xfId="0" applyFont="1" applyBorder="1"/>
    <xf numFmtId="0" fontId="1" fillId="7" borderId="8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7" borderId="1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/>
    </xf>
    <xf numFmtId="0" fontId="1" fillId="7" borderId="1" xfId="0" applyNumberFormat="1" applyFont="1" applyFill="1" applyBorder="1"/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5" borderId="1" xfId="0" applyFont="1" applyFill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6" borderId="0" xfId="0" applyFont="1" applyFill="1"/>
    <xf numFmtId="0" fontId="3" fillId="0" borderId="1" xfId="0" applyFont="1" applyBorder="1"/>
    <xf numFmtId="180" fontId="1" fillId="0" borderId="2" xfId="0" applyNumberFormat="1" applyFont="1" applyBorder="1" applyAlignment="1">
      <alignment textRotation="90" wrapText="1"/>
    </xf>
    <xf numFmtId="180" fontId="0" fillId="0" borderId="0" xfId="0" applyNumberFormat="1"/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4" borderId="2" xfId="0" applyFont="1" applyFill="1" applyBorder="1"/>
    <xf numFmtId="0" fontId="2" fillId="5" borderId="2" xfId="0" applyFont="1" applyFill="1" applyBorder="1"/>
    <xf numFmtId="58" fontId="4" fillId="0" borderId="1" xfId="0" applyNumberFormat="1" applyFont="1" applyBorder="1" applyAlignment="1">
      <alignment horizontal="left" vertical="top"/>
    </xf>
    <xf numFmtId="58" fontId="4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/>
    <xf numFmtId="0" fontId="4" fillId="4" borderId="1" xfId="0" applyFont="1" applyFill="1" applyBorder="1"/>
    <xf numFmtId="0" fontId="2" fillId="0" borderId="4" xfId="0" applyFont="1" applyBorder="1"/>
    <xf numFmtId="0" fontId="2" fillId="0" borderId="3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30F035"/>
      <color rgb="00CC00CC"/>
      <color rgb="00FF66CC"/>
      <color rgb="00FF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1'!$I$15:$Y$15</c:f>
              <c:numCache>
                <c:formatCode>dd/mm</c:formatCode>
                <c:ptCount val="17"/>
                <c:pt idx="0" c:formatCode="dd/mm">
                  <c:v>46099</c:v>
                </c:pt>
                <c:pt idx="1" c:formatCode="dd/mm">
                  <c:v>46100</c:v>
                </c:pt>
                <c:pt idx="2" c:formatCode="dd/mm">
                  <c:v>46101</c:v>
                </c:pt>
                <c:pt idx="3" c:formatCode="dd/mm">
                  <c:v>46102</c:v>
                </c:pt>
                <c:pt idx="4" c:formatCode="dd/mm">
                  <c:v>46103</c:v>
                </c:pt>
                <c:pt idx="5" c:formatCode="dd/mm">
                  <c:v>46104</c:v>
                </c:pt>
                <c:pt idx="6" c:formatCode="dd/mm">
                  <c:v>46105</c:v>
                </c:pt>
                <c:pt idx="7" c:formatCode="dd/mm">
                  <c:v>46106</c:v>
                </c:pt>
                <c:pt idx="8" c:formatCode="dd/mm">
                  <c:v>46107</c:v>
                </c:pt>
                <c:pt idx="9" c:formatCode="dd/mm">
                  <c:v>46108</c:v>
                </c:pt>
                <c:pt idx="10" c:formatCode="dd/mm">
                  <c:v>46109</c:v>
                </c:pt>
                <c:pt idx="11" c:formatCode="dd/mm">
                  <c:v>46110</c:v>
                </c:pt>
                <c:pt idx="12" c:formatCode="dd/mm">
                  <c:v>46111</c:v>
                </c:pt>
                <c:pt idx="13" c:formatCode="dd/mm">
                  <c:v>46112</c:v>
                </c:pt>
                <c:pt idx="14" c:formatCode="dd/mm">
                  <c:v>46113</c:v>
                </c:pt>
                <c:pt idx="15" c:formatCode="dd/mm">
                  <c:v>46114</c:v>
                </c:pt>
                <c:pt idx="16" c:formatCode="dd/mm">
                  <c:v>46115</c:v>
                </c:pt>
              </c:numCache>
            </c:numRef>
          </c:cat>
          <c:val>
            <c:numRef>
              <c:f>'Sprint 1'!$I$110:$Y$110</c:f>
              <c:numCache>
                <c:formatCode>General</c:formatCode>
                <c:ptCount val="17"/>
                <c:pt idx="0">
                  <c:v>161</c:v>
                </c:pt>
                <c:pt idx="1">
                  <c:v>150</c:v>
                </c:pt>
                <c:pt idx="2">
                  <c:v>147</c:v>
                </c:pt>
                <c:pt idx="3">
                  <c:v>143</c:v>
                </c:pt>
                <c:pt idx="4">
                  <c:v>140</c:v>
                </c:pt>
                <c:pt idx="5">
                  <c:v>136</c:v>
                </c:pt>
                <c:pt idx="6">
                  <c:v>126</c:v>
                </c:pt>
                <c:pt idx="7">
                  <c:v>121</c:v>
                </c:pt>
                <c:pt idx="8">
                  <c:v>105</c:v>
                </c:pt>
                <c:pt idx="9">
                  <c:v>100</c:v>
                </c:pt>
                <c:pt idx="10">
                  <c:v>87</c:v>
                </c:pt>
                <c:pt idx="11">
                  <c:v>74</c:v>
                </c:pt>
                <c:pt idx="12">
                  <c:v>64</c:v>
                </c:pt>
                <c:pt idx="13">
                  <c:v>54</c:v>
                </c:pt>
                <c:pt idx="14">
                  <c:v>45</c:v>
                </c:pt>
                <c:pt idx="15">
                  <c:v>31</c:v>
                </c:pt>
                <c:pt idx="16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1'!$I$15:$Y$15</c:f>
              <c:numCache>
                <c:formatCode>dd/mm</c:formatCode>
                <c:ptCount val="17"/>
                <c:pt idx="0" c:formatCode="dd/mm">
                  <c:v>46099</c:v>
                </c:pt>
                <c:pt idx="1" c:formatCode="dd/mm">
                  <c:v>46100</c:v>
                </c:pt>
                <c:pt idx="2" c:formatCode="dd/mm">
                  <c:v>46101</c:v>
                </c:pt>
                <c:pt idx="3" c:formatCode="dd/mm">
                  <c:v>46102</c:v>
                </c:pt>
                <c:pt idx="4" c:formatCode="dd/mm">
                  <c:v>46103</c:v>
                </c:pt>
                <c:pt idx="5" c:formatCode="dd/mm">
                  <c:v>46104</c:v>
                </c:pt>
                <c:pt idx="6" c:formatCode="dd/mm">
                  <c:v>46105</c:v>
                </c:pt>
                <c:pt idx="7" c:formatCode="dd/mm">
                  <c:v>46106</c:v>
                </c:pt>
                <c:pt idx="8" c:formatCode="dd/mm">
                  <c:v>46107</c:v>
                </c:pt>
                <c:pt idx="9" c:formatCode="dd/mm">
                  <c:v>46108</c:v>
                </c:pt>
                <c:pt idx="10" c:formatCode="dd/mm">
                  <c:v>46109</c:v>
                </c:pt>
                <c:pt idx="11" c:formatCode="dd/mm">
                  <c:v>46110</c:v>
                </c:pt>
                <c:pt idx="12" c:formatCode="dd/mm">
                  <c:v>46111</c:v>
                </c:pt>
                <c:pt idx="13" c:formatCode="dd/mm">
                  <c:v>46112</c:v>
                </c:pt>
                <c:pt idx="14" c:formatCode="dd/mm">
                  <c:v>46113</c:v>
                </c:pt>
                <c:pt idx="15" c:formatCode="dd/mm">
                  <c:v>46114</c:v>
                </c:pt>
                <c:pt idx="16" c:formatCode="dd/mm">
                  <c:v>46115</c:v>
                </c:pt>
              </c:numCache>
            </c:numRef>
          </c:cat>
          <c:val>
            <c:numRef>
              <c:f>'Sprint 1'!$I$111:$Y$111</c:f>
              <c:numCache>
                <c:formatCode>General</c:formatCode>
                <c:ptCount val="17"/>
                <c:pt idx="0">
                  <c:v>161</c:v>
                </c:pt>
                <c:pt idx="1">
                  <c:v>151</c:v>
                </c:pt>
                <c:pt idx="2">
                  <c:v>147</c:v>
                </c:pt>
                <c:pt idx="3">
                  <c:v>143</c:v>
                </c:pt>
                <c:pt idx="4">
                  <c:v>139</c:v>
                </c:pt>
                <c:pt idx="5">
                  <c:v>138</c:v>
                </c:pt>
                <c:pt idx="6">
                  <c:v>131</c:v>
                </c:pt>
                <c:pt idx="7">
                  <c:v>121</c:v>
                </c:pt>
                <c:pt idx="8">
                  <c:v>109</c:v>
                </c:pt>
                <c:pt idx="9">
                  <c:v>101</c:v>
                </c:pt>
                <c:pt idx="10">
                  <c:v>88</c:v>
                </c:pt>
                <c:pt idx="11">
                  <c:v>75</c:v>
                </c:pt>
                <c:pt idx="12">
                  <c:v>64</c:v>
                </c:pt>
                <c:pt idx="13">
                  <c:v>55</c:v>
                </c:pt>
                <c:pt idx="14">
                  <c:v>46</c:v>
                </c:pt>
                <c:pt idx="15">
                  <c:v>30</c:v>
                </c:pt>
                <c:pt idx="16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29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cedcd0-bd8e-4e54-96ef-b972337a960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>
        <c:manualLayout>
          <c:xMode val="edge"/>
          <c:yMode val="edge"/>
          <c:x val="0.277432283029298"/>
          <c:y val="0.023696682464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2449150181109"/>
          <c:y val="0.216"/>
          <c:w val="0.894315965449986"/>
          <c:h val="0.621422222222222"/>
        </c:manualLayout>
      </c:layout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'Sprint 1'!$I$110:$Y$110</c:f>
              <c:numCache>
                <c:formatCode>General</c:formatCode>
                <c:ptCount val="17"/>
                <c:pt idx="0">
                  <c:v>161</c:v>
                </c:pt>
                <c:pt idx="1">
                  <c:v>150</c:v>
                </c:pt>
                <c:pt idx="2">
                  <c:v>147</c:v>
                </c:pt>
                <c:pt idx="3">
                  <c:v>143</c:v>
                </c:pt>
                <c:pt idx="4">
                  <c:v>140</c:v>
                </c:pt>
                <c:pt idx="5">
                  <c:v>136</c:v>
                </c:pt>
                <c:pt idx="6">
                  <c:v>126</c:v>
                </c:pt>
                <c:pt idx="7">
                  <c:v>121</c:v>
                </c:pt>
                <c:pt idx="8">
                  <c:v>105</c:v>
                </c:pt>
                <c:pt idx="9">
                  <c:v>100</c:v>
                </c:pt>
                <c:pt idx="10">
                  <c:v>87</c:v>
                </c:pt>
                <c:pt idx="11">
                  <c:v>74</c:v>
                </c:pt>
                <c:pt idx="12">
                  <c:v>64</c:v>
                </c:pt>
                <c:pt idx="13">
                  <c:v>54</c:v>
                </c:pt>
                <c:pt idx="14">
                  <c:v>45</c:v>
                </c:pt>
                <c:pt idx="15">
                  <c:v>31</c:v>
                </c:pt>
                <c:pt idx="16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'Sprint 1'!$I$111:$Y$111</c:f>
              <c:numCache>
                <c:formatCode>General</c:formatCode>
                <c:ptCount val="17"/>
                <c:pt idx="0">
                  <c:v>161</c:v>
                </c:pt>
                <c:pt idx="1">
                  <c:v>151</c:v>
                </c:pt>
                <c:pt idx="2">
                  <c:v>147</c:v>
                </c:pt>
                <c:pt idx="3">
                  <c:v>143</c:v>
                </c:pt>
                <c:pt idx="4">
                  <c:v>139</c:v>
                </c:pt>
                <c:pt idx="5">
                  <c:v>138</c:v>
                </c:pt>
                <c:pt idx="6">
                  <c:v>131</c:v>
                </c:pt>
                <c:pt idx="7">
                  <c:v>121</c:v>
                </c:pt>
                <c:pt idx="8">
                  <c:v>109</c:v>
                </c:pt>
                <c:pt idx="9">
                  <c:v>101</c:v>
                </c:pt>
                <c:pt idx="10">
                  <c:v>88</c:v>
                </c:pt>
                <c:pt idx="11">
                  <c:v>75</c:v>
                </c:pt>
                <c:pt idx="12">
                  <c:v>64</c:v>
                </c:pt>
                <c:pt idx="13">
                  <c:v>55</c:v>
                </c:pt>
                <c:pt idx="14">
                  <c:v>46</c:v>
                </c:pt>
                <c:pt idx="15">
                  <c:v>30</c:v>
                </c:pt>
                <c:pt idx="16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183063511831"/>
          <c:y val="0.904084856691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b1429b-026c-4139-a985-b2cb390169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05475191405995"/>
          <c:y val="0.0242987126108977"/>
          <c:w val="0.847123931593658"/>
          <c:h val="0.90623780881532"/>
        </c:manualLayout>
      </c:layout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'Sprint 2'!$I$15:$Y$15</c:f>
              <c:numCache>
                <c:formatCode>dd/mm</c:formatCode>
                <c:ptCount val="17"/>
                <c:pt idx="0" c:formatCode="dd/mm">
                  <c:v>46117</c:v>
                </c:pt>
                <c:pt idx="1" c:formatCode="dd/mm">
                  <c:v>46118</c:v>
                </c:pt>
                <c:pt idx="2" c:formatCode="dd/mm">
                  <c:v>46119</c:v>
                </c:pt>
                <c:pt idx="3" c:formatCode="dd/mm">
                  <c:v>46120</c:v>
                </c:pt>
                <c:pt idx="4" c:formatCode="dd/mm">
                  <c:v>46121</c:v>
                </c:pt>
                <c:pt idx="5" c:formatCode="dd/mm">
                  <c:v>46122</c:v>
                </c:pt>
                <c:pt idx="6" c:formatCode="dd/mm">
                  <c:v>46123</c:v>
                </c:pt>
                <c:pt idx="7" c:formatCode="dd/mm">
                  <c:v>46124</c:v>
                </c:pt>
                <c:pt idx="8" c:formatCode="dd/mm">
                  <c:v>46125</c:v>
                </c:pt>
                <c:pt idx="9" c:formatCode="dd/mm">
                  <c:v>46126</c:v>
                </c:pt>
                <c:pt idx="10" c:formatCode="dd/mm">
                  <c:v>46127</c:v>
                </c:pt>
                <c:pt idx="11" c:formatCode="dd/mm">
                  <c:v>46128</c:v>
                </c:pt>
                <c:pt idx="12" c:formatCode="dd/mm">
                  <c:v>46129</c:v>
                </c:pt>
                <c:pt idx="13" c:formatCode="dd/mm">
                  <c:v>46130</c:v>
                </c:pt>
                <c:pt idx="14" c:formatCode="dd/mm">
                  <c:v>46131</c:v>
                </c:pt>
                <c:pt idx="15" c:formatCode="dd/mm">
                  <c:v>46132</c:v>
                </c:pt>
                <c:pt idx="16" c:formatCode="dd/mm">
                  <c:v>46133</c:v>
                </c:pt>
              </c:numCache>
            </c:numRef>
          </c:cat>
          <c:val>
            <c:numRef>
              <c:f>'Sprint 2'!$I$98:$Y$98</c:f>
              <c:numCache>
                <c:formatCode>General</c:formatCode>
                <c:ptCount val="17"/>
                <c:pt idx="0">
                  <c:v>180</c:v>
                </c:pt>
                <c:pt idx="1">
                  <c:v>170</c:v>
                </c:pt>
                <c:pt idx="2">
                  <c:v>162</c:v>
                </c:pt>
                <c:pt idx="3">
                  <c:v>158</c:v>
                </c:pt>
                <c:pt idx="4">
                  <c:v>145</c:v>
                </c:pt>
                <c:pt idx="5">
                  <c:v>137</c:v>
                </c:pt>
                <c:pt idx="6">
                  <c:v>129</c:v>
                </c:pt>
                <c:pt idx="7">
                  <c:v>119</c:v>
                </c:pt>
                <c:pt idx="8">
                  <c:v>113</c:v>
                </c:pt>
                <c:pt idx="9">
                  <c:v>103</c:v>
                </c:pt>
                <c:pt idx="10">
                  <c:v>90</c:v>
                </c:pt>
                <c:pt idx="11">
                  <c:v>77</c:v>
                </c:pt>
                <c:pt idx="12">
                  <c:v>71</c:v>
                </c:pt>
                <c:pt idx="13">
                  <c:v>62</c:v>
                </c:pt>
                <c:pt idx="14">
                  <c:v>52</c:v>
                </c:pt>
                <c:pt idx="15">
                  <c:v>38</c:v>
                </c:pt>
                <c:pt idx="16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'Sprint 2'!$I$15:$Y$15</c:f>
              <c:numCache>
                <c:formatCode>dd/mm</c:formatCode>
                <c:ptCount val="17"/>
                <c:pt idx="0" c:formatCode="dd/mm">
                  <c:v>46117</c:v>
                </c:pt>
                <c:pt idx="1" c:formatCode="dd/mm">
                  <c:v>46118</c:v>
                </c:pt>
                <c:pt idx="2" c:formatCode="dd/mm">
                  <c:v>46119</c:v>
                </c:pt>
                <c:pt idx="3" c:formatCode="dd/mm">
                  <c:v>46120</c:v>
                </c:pt>
                <c:pt idx="4" c:formatCode="dd/mm">
                  <c:v>46121</c:v>
                </c:pt>
                <c:pt idx="5" c:formatCode="dd/mm">
                  <c:v>46122</c:v>
                </c:pt>
                <c:pt idx="6" c:formatCode="dd/mm">
                  <c:v>46123</c:v>
                </c:pt>
                <c:pt idx="7" c:formatCode="dd/mm">
                  <c:v>46124</c:v>
                </c:pt>
                <c:pt idx="8" c:formatCode="dd/mm">
                  <c:v>46125</c:v>
                </c:pt>
                <c:pt idx="9" c:formatCode="dd/mm">
                  <c:v>46126</c:v>
                </c:pt>
                <c:pt idx="10" c:formatCode="dd/mm">
                  <c:v>46127</c:v>
                </c:pt>
                <c:pt idx="11" c:formatCode="dd/mm">
                  <c:v>46128</c:v>
                </c:pt>
                <c:pt idx="12" c:formatCode="dd/mm">
                  <c:v>46129</c:v>
                </c:pt>
                <c:pt idx="13" c:formatCode="dd/mm">
                  <c:v>46130</c:v>
                </c:pt>
                <c:pt idx="14" c:formatCode="dd/mm">
                  <c:v>46131</c:v>
                </c:pt>
                <c:pt idx="15" c:formatCode="dd/mm">
                  <c:v>46132</c:v>
                </c:pt>
                <c:pt idx="16" c:formatCode="dd/mm">
                  <c:v>46133</c:v>
                </c:pt>
              </c:numCache>
            </c:numRef>
          </c:cat>
          <c:val>
            <c:numRef>
              <c:f>'Sprint 2'!$I$99:$Y$99</c:f>
              <c:numCache>
                <c:formatCode>General</c:formatCode>
                <c:ptCount val="17"/>
                <c:pt idx="0">
                  <c:v>180</c:v>
                </c:pt>
                <c:pt idx="1">
                  <c:v>170</c:v>
                </c:pt>
                <c:pt idx="2">
                  <c:v>162</c:v>
                </c:pt>
                <c:pt idx="3">
                  <c:v>156</c:v>
                </c:pt>
                <c:pt idx="4">
                  <c:v>150</c:v>
                </c:pt>
                <c:pt idx="5">
                  <c:v>137</c:v>
                </c:pt>
                <c:pt idx="6">
                  <c:v>129</c:v>
                </c:pt>
                <c:pt idx="7">
                  <c:v>119</c:v>
                </c:pt>
                <c:pt idx="8">
                  <c:v>113</c:v>
                </c:pt>
                <c:pt idx="9">
                  <c:v>103</c:v>
                </c:pt>
                <c:pt idx="10">
                  <c:v>92</c:v>
                </c:pt>
                <c:pt idx="11">
                  <c:v>77</c:v>
                </c:pt>
                <c:pt idx="12">
                  <c:v>71</c:v>
                </c:pt>
                <c:pt idx="13">
                  <c:v>62</c:v>
                </c:pt>
                <c:pt idx="14">
                  <c:v>52</c:v>
                </c:pt>
                <c:pt idx="15">
                  <c:v>38</c:v>
                </c:pt>
                <c:pt idx="16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2629564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27e35e-4700-4f2a-a295-b1895e08c9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2</a:t>
            </a:r>
            <a:endParaRPr lang="en-US"/>
          </a:p>
        </c:rich>
      </c:tx>
      <c:layout>
        <c:manualLayout>
          <c:xMode val="edge"/>
          <c:yMode val="edge"/>
          <c:x val="0.277432283029298"/>
          <c:y val="0.023696682464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2449150181109"/>
          <c:y val="0.216"/>
          <c:w val="0.894315965449986"/>
          <c:h val="0.621422222222222"/>
        </c:manualLayout>
      </c:layout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'Sprint 2'!$I$98:$Y$98</c:f>
              <c:numCache>
                <c:formatCode>General</c:formatCode>
                <c:ptCount val="17"/>
                <c:pt idx="0">
                  <c:v>180</c:v>
                </c:pt>
                <c:pt idx="1">
                  <c:v>170</c:v>
                </c:pt>
                <c:pt idx="2">
                  <c:v>162</c:v>
                </c:pt>
                <c:pt idx="3">
                  <c:v>158</c:v>
                </c:pt>
                <c:pt idx="4">
                  <c:v>145</c:v>
                </c:pt>
                <c:pt idx="5">
                  <c:v>137</c:v>
                </c:pt>
                <c:pt idx="6">
                  <c:v>129</c:v>
                </c:pt>
                <c:pt idx="7">
                  <c:v>119</c:v>
                </c:pt>
                <c:pt idx="8">
                  <c:v>113</c:v>
                </c:pt>
                <c:pt idx="9">
                  <c:v>103</c:v>
                </c:pt>
                <c:pt idx="10">
                  <c:v>90</c:v>
                </c:pt>
                <c:pt idx="11">
                  <c:v>77</c:v>
                </c:pt>
                <c:pt idx="12">
                  <c:v>71</c:v>
                </c:pt>
                <c:pt idx="13">
                  <c:v>62</c:v>
                </c:pt>
                <c:pt idx="14">
                  <c:v>52</c:v>
                </c:pt>
                <c:pt idx="15">
                  <c:v>38</c:v>
                </c:pt>
                <c:pt idx="16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'Sprint 2'!$I$99:$Y$99</c:f>
              <c:numCache>
                <c:formatCode>General</c:formatCode>
                <c:ptCount val="17"/>
                <c:pt idx="0">
                  <c:v>180</c:v>
                </c:pt>
                <c:pt idx="1">
                  <c:v>170</c:v>
                </c:pt>
                <c:pt idx="2">
                  <c:v>162</c:v>
                </c:pt>
                <c:pt idx="3">
                  <c:v>156</c:v>
                </c:pt>
                <c:pt idx="4">
                  <c:v>150</c:v>
                </c:pt>
                <c:pt idx="5">
                  <c:v>137</c:v>
                </c:pt>
                <c:pt idx="6">
                  <c:v>129</c:v>
                </c:pt>
                <c:pt idx="7">
                  <c:v>119</c:v>
                </c:pt>
                <c:pt idx="8">
                  <c:v>113</c:v>
                </c:pt>
                <c:pt idx="9">
                  <c:v>103</c:v>
                </c:pt>
                <c:pt idx="10">
                  <c:v>92</c:v>
                </c:pt>
                <c:pt idx="11">
                  <c:v>77</c:v>
                </c:pt>
                <c:pt idx="12">
                  <c:v>71</c:v>
                </c:pt>
                <c:pt idx="13">
                  <c:v>62</c:v>
                </c:pt>
                <c:pt idx="14">
                  <c:v>52</c:v>
                </c:pt>
                <c:pt idx="15">
                  <c:v>38</c:v>
                </c:pt>
                <c:pt idx="16">
                  <c:v>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183063511831"/>
          <c:y val="0.904084856691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b1429b-026c-4139-a985-b2cb390169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67040890125174"/>
          <c:y val="0.0813084112149533"/>
          <c:w val="0.924315185578754"/>
          <c:h val="0.8682224620394"/>
        </c:manualLayout>
      </c:layout>
      <c:lineChart>
        <c:grouping val="standard"/>
        <c:varyColors val="0"/>
        <c:ser>
          <c:idx val="0"/>
          <c:order val="0"/>
          <c:tx>
            <c:strRef>
              <c:f>"Thực Tế "</c:f>
              <c:strCache>
                <c:ptCount val="1"/>
                <c:pt idx="0">
                  <c:v>Thực Tế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3'!$I$15:$X$15</c:f>
              <c:numCache>
                <c:formatCode>dd/mm</c:formatCode>
                <c:ptCount val="16"/>
                <c:pt idx="0" c:formatCode="dd/mm">
                  <c:v>46135</c:v>
                </c:pt>
                <c:pt idx="1" c:formatCode="dd/mm">
                  <c:v>46136</c:v>
                </c:pt>
                <c:pt idx="2" c:formatCode="dd/mm">
                  <c:v>46137</c:v>
                </c:pt>
                <c:pt idx="3" c:formatCode="dd/mm">
                  <c:v>46138</c:v>
                </c:pt>
                <c:pt idx="4" c:formatCode="dd/mm">
                  <c:v>46139</c:v>
                </c:pt>
                <c:pt idx="5" c:formatCode="dd/mm">
                  <c:v>46140</c:v>
                </c:pt>
                <c:pt idx="6" c:formatCode="dd/mm">
                  <c:v>46141</c:v>
                </c:pt>
                <c:pt idx="7" c:formatCode="dd/mm">
                  <c:v>46142</c:v>
                </c:pt>
                <c:pt idx="8" c:formatCode="dd/mm">
                  <c:v>46143</c:v>
                </c:pt>
                <c:pt idx="9" c:formatCode="dd/mm">
                  <c:v>46144</c:v>
                </c:pt>
                <c:pt idx="10" c:formatCode="dd/mm">
                  <c:v>46145</c:v>
                </c:pt>
                <c:pt idx="11" c:formatCode="dd/mm">
                  <c:v>46146</c:v>
                </c:pt>
                <c:pt idx="12" c:formatCode="dd/mm">
                  <c:v>46147</c:v>
                </c:pt>
                <c:pt idx="13" c:formatCode="dd/mm">
                  <c:v>46148</c:v>
                </c:pt>
                <c:pt idx="14" c:formatCode="dd/mm">
                  <c:v>46149</c:v>
                </c:pt>
                <c:pt idx="15" c:formatCode="dd/mm">
                  <c:v>46150</c:v>
                </c:pt>
              </c:numCache>
            </c:numRef>
          </c:cat>
          <c:val>
            <c:numRef>
              <c:f>'Sprint 3'!$I$82:$X$82</c:f>
              <c:numCache>
                <c:formatCode>General</c:formatCode>
                <c:ptCount val="16"/>
                <c:pt idx="0">
                  <c:v>162</c:v>
                </c:pt>
                <c:pt idx="1">
                  <c:v>149</c:v>
                </c:pt>
                <c:pt idx="2">
                  <c:v>140</c:v>
                </c:pt>
                <c:pt idx="3">
                  <c:v>130</c:v>
                </c:pt>
                <c:pt idx="4">
                  <c:v>123</c:v>
                </c:pt>
                <c:pt idx="5">
                  <c:v>115</c:v>
                </c:pt>
                <c:pt idx="6">
                  <c:v>107</c:v>
                </c:pt>
                <c:pt idx="7">
                  <c:v>99</c:v>
                </c:pt>
                <c:pt idx="8">
                  <c:v>87</c:v>
                </c:pt>
                <c:pt idx="9">
                  <c:v>79</c:v>
                </c:pt>
                <c:pt idx="10">
                  <c:v>67</c:v>
                </c:pt>
                <c:pt idx="11">
                  <c:v>56</c:v>
                </c:pt>
                <c:pt idx="12">
                  <c:v>50</c:v>
                </c:pt>
                <c:pt idx="13">
                  <c:v>34</c:v>
                </c:pt>
                <c:pt idx="14">
                  <c:v>22</c:v>
                </c:pt>
                <c:pt idx="15">
                  <c:v>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'Sprint 3'!$I$15:$X$15</c:f>
              <c:numCache>
                <c:formatCode>dd/mm</c:formatCode>
                <c:ptCount val="16"/>
                <c:pt idx="0" c:formatCode="dd/mm">
                  <c:v>46135</c:v>
                </c:pt>
                <c:pt idx="1" c:formatCode="dd/mm">
                  <c:v>46136</c:v>
                </c:pt>
                <c:pt idx="2" c:formatCode="dd/mm">
                  <c:v>46137</c:v>
                </c:pt>
                <c:pt idx="3" c:formatCode="dd/mm">
                  <c:v>46138</c:v>
                </c:pt>
                <c:pt idx="4" c:formatCode="dd/mm">
                  <c:v>46139</c:v>
                </c:pt>
                <c:pt idx="5" c:formatCode="dd/mm">
                  <c:v>46140</c:v>
                </c:pt>
                <c:pt idx="6" c:formatCode="dd/mm">
                  <c:v>46141</c:v>
                </c:pt>
                <c:pt idx="7" c:formatCode="dd/mm">
                  <c:v>46142</c:v>
                </c:pt>
                <c:pt idx="8" c:formatCode="dd/mm">
                  <c:v>46143</c:v>
                </c:pt>
                <c:pt idx="9" c:formatCode="dd/mm">
                  <c:v>46144</c:v>
                </c:pt>
                <c:pt idx="10" c:formatCode="dd/mm">
                  <c:v>46145</c:v>
                </c:pt>
                <c:pt idx="11" c:formatCode="dd/mm">
                  <c:v>46146</c:v>
                </c:pt>
                <c:pt idx="12" c:formatCode="dd/mm">
                  <c:v>46147</c:v>
                </c:pt>
                <c:pt idx="13" c:formatCode="dd/mm">
                  <c:v>46148</c:v>
                </c:pt>
                <c:pt idx="14" c:formatCode="dd/mm">
                  <c:v>46149</c:v>
                </c:pt>
                <c:pt idx="15" c:formatCode="dd/mm">
                  <c:v>46150</c:v>
                </c:pt>
              </c:numCache>
            </c:numRef>
          </c:cat>
          <c:val>
            <c:numRef>
              <c:f>'Sprint 3'!$I$83:$X$83</c:f>
              <c:numCache>
                <c:formatCode>General</c:formatCode>
                <c:ptCount val="16"/>
                <c:pt idx="0">
                  <c:v>163</c:v>
                </c:pt>
                <c:pt idx="1">
                  <c:v>149</c:v>
                </c:pt>
                <c:pt idx="2">
                  <c:v>140</c:v>
                </c:pt>
                <c:pt idx="3">
                  <c:v>133</c:v>
                </c:pt>
                <c:pt idx="4">
                  <c:v>123</c:v>
                </c:pt>
                <c:pt idx="5">
                  <c:v>116</c:v>
                </c:pt>
                <c:pt idx="6">
                  <c:v>109</c:v>
                </c:pt>
                <c:pt idx="7">
                  <c:v>99</c:v>
                </c:pt>
                <c:pt idx="8">
                  <c:v>87</c:v>
                </c:pt>
                <c:pt idx="9">
                  <c:v>79</c:v>
                </c:pt>
                <c:pt idx="10">
                  <c:v>68</c:v>
                </c:pt>
                <c:pt idx="11">
                  <c:v>59</c:v>
                </c:pt>
                <c:pt idx="12">
                  <c:v>49</c:v>
                </c:pt>
                <c:pt idx="13">
                  <c:v>36</c:v>
                </c:pt>
                <c:pt idx="14">
                  <c:v>22</c:v>
                </c:pt>
                <c:pt idx="15">
                  <c:v>10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1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29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f5de51-c737-4b10-bd70-e9e1811467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2</a:t>
            </a:r>
            <a:endParaRPr lang="en-US"/>
          </a:p>
        </c:rich>
      </c:tx>
      <c:layout>
        <c:manualLayout>
          <c:xMode val="edge"/>
          <c:yMode val="edge"/>
          <c:x val="0.277432283029298"/>
          <c:y val="0.0236966824644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92449150181109"/>
          <c:y val="0.216"/>
          <c:w val="0.894315965449986"/>
          <c:h val="0.621422222222222"/>
        </c:manualLayout>
      </c:layout>
      <c:lineChart>
        <c:grouping val="standard"/>
        <c:varyColors val="0"/>
        <c:ser>
          <c:idx val="0"/>
          <c:order val="0"/>
          <c:tx>
            <c:strRef>
              <c:f>"Thực Tế"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'Sprint 3'!$I$82:$X$82</c:f>
              <c:numCache>
                <c:formatCode>General</c:formatCode>
                <c:ptCount val="16"/>
                <c:pt idx="0">
                  <c:v>162</c:v>
                </c:pt>
                <c:pt idx="1">
                  <c:v>149</c:v>
                </c:pt>
                <c:pt idx="2">
                  <c:v>140</c:v>
                </c:pt>
                <c:pt idx="3">
                  <c:v>130</c:v>
                </c:pt>
                <c:pt idx="4">
                  <c:v>123</c:v>
                </c:pt>
                <c:pt idx="5">
                  <c:v>115</c:v>
                </c:pt>
                <c:pt idx="6">
                  <c:v>107</c:v>
                </c:pt>
                <c:pt idx="7">
                  <c:v>99</c:v>
                </c:pt>
                <c:pt idx="8">
                  <c:v>87</c:v>
                </c:pt>
                <c:pt idx="9">
                  <c:v>79</c:v>
                </c:pt>
                <c:pt idx="10">
                  <c:v>67</c:v>
                </c:pt>
                <c:pt idx="11">
                  <c:v>56</c:v>
                </c:pt>
                <c:pt idx="12">
                  <c:v>50</c:v>
                </c:pt>
                <c:pt idx="13">
                  <c:v>34</c:v>
                </c:pt>
                <c:pt idx="14">
                  <c:v>22</c:v>
                </c:pt>
                <c:pt idx="15">
                  <c:v>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"Ước Tính"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'Sprint 3'!$I$83:$X$83</c:f>
              <c:numCache>
                <c:formatCode>General</c:formatCode>
                <c:ptCount val="16"/>
                <c:pt idx="0">
                  <c:v>163</c:v>
                </c:pt>
                <c:pt idx="1">
                  <c:v>149</c:v>
                </c:pt>
                <c:pt idx="2">
                  <c:v>140</c:v>
                </c:pt>
                <c:pt idx="3">
                  <c:v>133</c:v>
                </c:pt>
                <c:pt idx="4">
                  <c:v>123</c:v>
                </c:pt>
                <c:pt idx="5">
                  <c:v>116</c:v>
                </c:pt>
                <c:pt idx="6">
                  <c:v>109</c:v>
                </c:pt>
                <c:pt idx="7">
                  <c:v>99</c:v>
                </c:pt>
                <c:pt idx="8">
                  <c:v>87</c:v>
                </c:pt>
                <c:pt idx="9">
                  <c:v>79</c:v>
                </c:pt>
                <c:pt idx="10">
                  <c:v>68</c:v>
                </c:pt>
                <c:pt idx="11">
                  <c:v>59</c:v>
                </c:pt>
                <c:pt idx="12">
                  <c:v>49</c:v>
                </c:pt>
                <c:pt idx="13">
                  <c:v>36</c:v>
                </c:pt>
                <c:pt idx="14">
                  <c:v>22</c:v>
                </c:pt>
                <c:pt idx="15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1183063511831"/>
          <c:y val="0.9040848566914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b1429b-026c-4139-a985-b2cb390169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178286</xdr:colOff>
      <xdr:row>114</xdr:row>
      <xdr:rowOff>31078</xdr:rowOff>
    </xdr:from>
    <xdr:to>
      <xdr:col>24</xdr:col>
      <xdr:colOff>156883</xdr:colOff>
      <xdr:row>144</xdr:row>
      <xdr:rowOff>22413</xdr:rowOff>
    </xdr:to>
    <xdr:graphicFrame>
      <xdr:nvGraphicFramePr>
        <xdr:cNvPr id="2" name="Chart 1"/>
        <xdr:cNvGraphicFramePr/>
      </xdr:nvGraphicFramePr>
      <xdr:xfrm>
        <a:off x="2600325" y="24734520"/>
        <a:ext cx="13287375" cy="6278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347382</xdr:colOff>
      <xdr:row>114</xdr:row>
      <xdr:rowOff>178809</xdr:rowOff>
    </xdr:from>
    <xdr:to>
      <xdr:col>24</xdr:col>
      <xdr:colOff>90506</xdr:colOff>
      <xdr:row>126</xdr:row>
      <xdr:rowOff>188596</xdr:rowOff>
    </xdr:to>
    <xdr:graphicFrame>
      <xdr:nvGraphicFramePr>
        <xdr:cNvPr id="4" name="Chart 3"/>
        <xdr:cNvGraphicFramePr/>
      </xdr:nvGraphicFramePr>
      <xdr:xfrm>
        <a:off x="11649710" y="24882475"/>
        <a:ext cx="4171315" cy="2524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361211</xdr:colOff>
      <xdr:row>100</xdr:row>
      <xdr:rowOff>21226</xdr:rowOff>
    </xdr:from>
    <xdr:to>
      <xdr:col>23</xdr:col>
      <xdr:colOff>224117</xdr:colOff>
      <xdr:row>132</xdr:row>
      <xdr:rowOff>44823</xdr:rowOff>
    </xdr:to>
    <xdr:graphicFrame>
      <xdr:nvGraphicFramePr>
        <xdr:cNvPr id="3" name="Chart 2"/>
        <xdr:cNvGraphicFramePr/>
      </xdr:nvGraphicFramePr>
      <xdr:xfrm>
        <a:off x="2663825" y="22124670"/>
        <a:ext cx="13240385" cy="6119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118334</xdr:colOff>
      <xdr:row>100</xdr:row>
      <xdr:rowOff>168088</xdr:rowOff>
    </xdr:from>
    <xdr:to>
      <xdr:col>23</xdr:col>
      <xdr:colOff>6575</xdr:colOff>
      <xdr:row>113</xdr:row>
      <xdr:rowOff>168087</xdr:rowOff>
    </xdr:to>
    <xdr:graphicFrame>
      <xdr:nvGraphicFramePr>
        <xdr:cNvPr id="2" name="Chart 1"/>
        <xdr:cNvGraphicFramePr/>
      </xdr:nvGraphicFramePr>
      <xdr:xfrm>
        <a:off x="12191365" y="22271355"/>
        <a:ext cx="3495675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1192231</xdr:colOff>
      <xdr:row>86</xdr:row>
      <xdr:rowOff>206151</xdr:rowOff>
    </xdr:from>
    <xdr:to>
      <xdr:col>16</xdr:col>
      <xdr:colOff>414356</xdr:colOff>
      <xdr:row>112</xdr:row>
      <xdr:rowOff>56029</xdr:rowOff>
    </xdr:to>
    <xdr:graphicFrame>
      <xdr:nvGraphicFramePr>
        <xdr:cNvPr id="2" name="Chart 1"/>
        <xdr:cNvGraphicFramePr/>
      </xdr:nvGraphicFramePr>
      <xdr:xfrm>
        <a:off x="2487930" y="19084290"/>
        <a:ext cx="11548745" cy="5298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1131795</xdr:colOff>
      <xdr:row>87</xdr:row>
      <xdr:rowOff>100853</xdr:rowOff>
    </xdr:from>
    <xdr:to>
      <xdr:col>13</xdr:col>
      <xdr:colOff>458396</xdr:colOff>
      <xdr:row>99</xdr:row>
      <xdr:rowOff>44823</xdr:rowOff>
    </xdr:to>
    <xdr:graphicFrame>
      <xdr:nvGraphicFramePr>
        <xdr:cNvPr id="3" name="Chart 2"/>
        <xdr:cNvGraphicFramePr/>
      </xdr:nvGraphicFramePr>
      <xdr:xfrm>
        <a:off x="9464675" y="19188430"/>
        <a:ext cx="3371850" cy="245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AF111"/>
  <sheetViews>
    <sheetView tabSelected="1" zoomScale="85" zoomScaleNormal="85" topLeftCell="B47" workbookViewId="0">
      <selection activeCell="E61" sqref="E61:F61"/>
    </sheetView>
  </sheetViews>
  <sheetFormatPr defaultColWidth="9.1047619047619" defaultRowHeight="16.5"/>
  <cols>
    <col min="1" max="1" width="16" style="9" customWidth="1"/>
    <col min="2" max="2" width="20.3333333333333" style="9" customWidth="1"/>
    <col min="3" max="3" width="54.2190476190476" style="9" customWidth="1"/>
    <col min="4" max="4" width="10.552380952381" style="9" customWidth="1"/>
    <col min="5" max="5" width="11" style="9" customWidth="1"/>
    <col min="6" max="6" width="14.7809523809524" style="9" customWidth="1"/>
    <col min="7" max="8" width="6.1047619047619" style="9" customWidth="1"/>
    <col min="9" max="9" width="6" style="9" customWidth="1"/>
    <col min="10" max="13" width="6.1047619047619" style="9" customWidth="1"/>
    <col min="14" max="14" width="6" style="9" customWidth="1"/>
    <col min="15" max="15" width="6.1047619047619" style="9" customWidth="1"/>
    <col min="16" max="20" width="6" style="9" customWidth="1"/>
    <col min="21" max="23" width="6.1047619047619" style="9" customWidth="1"/>
    <col min="24" max="24" width="6" style="9" customWidth="1"/>
    <col min="25" max="25" width="6.1047619047619" style="9" customWidth="1"/>
    <col min="26" max="26" width="6" style="9" customWidth="1"/>
    <col min="27" max="27" width="5.88571428571429" style="9" customWidth="1"/>
    <col min="28" max="28" width="6.1047619047619" style="9" customWidth="1"/>
    <col min="29" max="31" width="6" style="9" customWidth="1"/>
    <col min="32" max="16384" width="9.1047619047619" style="9"/>
  </cols>
  <sheetData>
    <row r="1" ht="33" spans="1:3">
      <c r="A1" s="10" t="s">
        <v>0</v>
      </c>
      <c r="B1" s="10"/>
      <c r="C1" s="11" t="s">
        <v>1</v>
      </c>
    </row>
    <row r="2" spans="1:7">
      <c r="A2" s="13" t="s">
        <v>2</v>
      </c>
      <c r="B2" s="13"/>
      <c r="C2" s="8" t="s">
        <v>3</v>
      </c>
      <c r="E2" s="14"/>
      <c r="F2" s="15" t="s">
        <v>4</v>
      </c>
      <c r="G2" s="15"/>
    </row>
    <row r="3" ht="18.6" customHeight="1" spans="1:7">
      <c r="A3" s="10" t="s">
        <v>5</v>
      </c>
      <c r="B3" s="10"/>
      <c r="C3" s="100">
        <v>46099</v>
      </c>
      <c r="E3" s="17"/>
      <c r="F3" s="68" t="s">
        <v>6</v>
      </c>
      <c r="G3" s="69"/>
    </row>
    <row r="4" ht="17.25" customHeight="1" spans="1:7">
      <c r="A4" s="13" t="s">
        <v>7</v>
      </c>
      <c r="B4" s="13"/>
      <c r="C4" s="101">
        <v>46116</v>
      </c>
      <c r="E4" s="19"/>
      <c r="F4" s="68" t="s">
        <v>8</v>
      </c>
      <c r="G4" s="69"/>
    </row>
    <row r="5" customHeight="1"/>
    <row r="6" spans="2:5">
      <c r="B6" s="20" t="s">
        <v>9</v>
      </c>
      <c r="C6" s="20"/>
      <c r="D6" s="20"/>
      <c r="E6" s="20"/>
    </row>
    <row r="7" spans="2:5">
      <c r="B7" s="21" t="s">
        <v>10</v>
      </c>
      <c r="C7" s="21" t="s">
        <v>11</v>
      </c>
      <c r="D7" s="21" t="s">
        <v>12</v>
      </c>
      <c r="E7" s="21" t="s">
        <v>13</v>
      </c>
    </row>
    <row r="8" spans="2:5">
      <c r="B8" s="22">
        <v>1</v>
      </c>
      <c r="C8" s="8" t="s">
        <v>14</v>
      </c>
      <c r="D8" s="8">
        <f ca="1">SUMIF($E$16:$F$109,"Phú",$G$16:$G$109)+SUMIF($E$16:$F$109,"All team",$G$16:$G$109)/5+SUMIF($E$16:$F$109,"Việt , Phú",$G$16:$G$109)/2+SUMIF($E$16:$F$109,"Thảo, Phú",$G$16:$G$109)/2</f>
        <v>30.4</v>
      </c>
      <c r="E8" s="8">
        <f ca="1">SUMIF($E$16:$F$109,"Phú",$H$16:$H$109)+SUMIF($E$16:$F$109,"All team",$H$16:$H$109)/5+SUMIF($E$16:$F$109,"Thảo, Phú",$H$16:$H$109)/2+SUMIF($E$16:$F$109,"Việt , Phú",$H$16:$H$109)/2</f>
        <v>33.9</v>
      </c>
    </row>
    <row r="9" spans="2:5">
      <c r="B9" s="22">
        <v>2</v>
      </c>
      <c r="C9" s="8" t="s">
        <v>15</v>
      </c>
      <c r="D9" s="8">
        <f ca="1">SUMIF($E$16:$F$109,"Việt",$G$16:$G$109)+SUMIF($E$16:$F$109,"All team",$G$16:$G$109)/5+SUMIF($E$16:$F$109,"Việt ,Vũ",$G$16:$G$109)/2+SUMIF($E$16:$F$109,"Việt , Phú",$G$16:$G$109)/2</f>
        <v>53.9</v>
      </c>
      <c r="E9" s="8">
        <f ca="1">SUMIF($E$16:$F$109,"Việt",$H$16:$H$109)+SUMIF($E$16:$F$109,"All team",$H$16:$H$109)/5+SUMIF($E$16:$F$109,"Việt ,Vũ",$H$16:$H$109)/2+SUMIF($E$16:$F$109,"Việt , Phú",$H$16:$H$109)/2</f>
        <v>57.4</v>
      </c>
    </row>
    <row r="10" spans="2:5">
      <c r="B10" s="22">
        <v>3</v>
      </c>
      <c r="C10" s="8" t="s">
        <v>16</v>
      </c>
      <c r="D10" s="8">
        <f ca="1">SUMIF($E$16:$F$109,"Vũ",$G$16:$G$109)+SUMIF($E$16:$F$109,"All team",$G$16:$G$109)/5+SUMIF($E$16:$F$109,"Việt ,Vũ",$G$16:$G$109)/2</f>
        <v>47.4</v>
      </c>
      <c r="E10" s="8">
        <f ca="1">SUMIF($E$16:$F$109,"Vũ",$H$16:$H$109)+SUMIF($E$16:$F$109,"All team",$H$16:$H$109)/5+SUMIF($E$16:$F$109,"Việt ,Vũ",$H$16:$H$109)/2</f>
        <v>49.9</v>
      </c>
    </row>
    <row r="11" spans="2:5">
      <c r="B11" s="22">
        <v>4</v>
      </c>
      <c r="C11" s="8" t="s">
        <v>17</v>
      </c>
      <c r="D11" s="8">
        <f ca="1">SUMIF($E$16:$F$109,"Nhật",$G$16:$G$109)+SUMIF($E$16:$F$109,"All team",$G$16:$G$109)/5</f>
        <v>6.4</v>
      </c>
      <c r="E11" s="8">
        <f ca="1">SUMIF($E$16:$F$109,"Nhật",$H$16:$H$109)+SUMIF($E$16:$F$109,"All team",$H$16:$H$109)/5</f>
        <v>8.4</v>
      </c>
    </row>
    <row r="12" spans="2:5">
      <c r="B12" s="22">
        <v>5</v>
      </c>
      <c r="C12" s="8" t="s">
        <v>18</v>
      </c>
      <c r="D12" s="8">
        <f ca="1">SUMIF($E$16:$F$109,"Thảo",$G$16:$G$109)+SUMIF($E$16:$F$109,"All team",$G$16:$G$109)/5+SUMIF($E$16:$F$109,"Thảo, Phú",$G$16:$G$109)/2</f>
        <v>8.9</v>
      </c>
      <c r="E12" s="8">
        <f ca="1">SUMIF($E$16:$F$109,"Thảo",$H$16:$H$109)+SUMIF($E$16:$F$109,"All team",$H$16:$H$109)/5+SUMIF($E$16:$F$109,"Thảo, Phú",$H$16:$H$109)/2</f>
        <v>11.4</v>
      </c>
    </row>
    <row r="13" spans="2:5">
      <c r="B13" s="20" t="s">
        <v>19</v>
      </c>
      <c r="C13" s="20"/>
      <c r="D13" s="23">
        <f ca="1">SUM(D8:D12)</f>
        <v>147</v>
      </c>
      <c r="E13" s="23">
        <f ca="1">SUM(E8:E12)</f>
        <v>161</v>
      </c>
    </row>
    <row r="15" ht="62.25" customHeight="1" spans="1:32">
      <c r="A15" s="23" t="s">
        <v>20</v>
      </c>
      <c r="B15" s="23" t="s">
        <v>21</v>
      </c>
      <c r="C15" s="20" t="s">
        <v>22</v>
      </c>
      <c r="D15" s="20"/>
      <c r="E15" s="20" t="s">
        <v>23</v>
      </c>
      <c r="F15" s="20"/>
      <c r="G15" s="26" t="s">
        <v>12</v>
      </c>
      <c r="H15" s="26" t="s">
        <v>13</v>
      </c>
      <c r="I15" s="45">
        <v>46099</v>
      </c>
      <c r="J15" s="45">
        <v>46100</v>
      </c>
      <c r="K15" s="45">
        <v>46101</v>
      </c>
      <c r="L15" s="45">
        <v>46102</v>
      </c>
      <c r="M15" s="45">
        <v>46103</v>
      </c>
      <c r="N15" s="45">
        <v>46104</v>
      </c>
      <c r="O15" s="45">
        <v>46105</v>
      </c>
      <c r="P15" s="45">
        <v>46106</v>
      </c>
      <c r="Q15" s="45">
        <v>46107</v>
      </c>
      <c r="R15" s="45">
        <v>46108</v>
      </c>
      <c r="S15" s="45">
        <v>46109</v>
      </c>
      <c r="T15" s="45">
        <v>46110</v>
      </c>
      <c r="U15" s="45">
        <v>46111</v>
      </c>
      <c r="V15" s="45">
        <v>46112</v>
      </c>
      <c r="W15" s="45">
        <v>46113</v>
      </c>
      <c r="X15" s="45">
        <v>46114</v>
      </c>
      <c r="Y15" s="45">
        <v>46115</v>
      </c>
      <c r="Z15" s="45">
        <v>46116</v>
      </c>
      <c r="AA15" s="57"/>
      <c r="AB15" s="57"/>
      <c r="AC15" s="57"/>
      <c r="AD15" s="57"/>
      <c r="AE15" s="57"/>
      <c r="AF15" s="57"/>
    </row>
    <row r="16" spans="1:26">
      <c r="A16" s="27" t="s">
        <v>3</v>
      </c>
      <c r="B16" s="29" t="s">
        <v>24</v>
      </c>
      <c r="C16" s="74"/>
      <c r="D16" s="74"/>
      <c r="E16" s="22" t="s">
        <v>25</v>
      </c>
      <c r="F16" s="22"/>
      <c r="G16" s="8">
        <v>10</v>
      </c>
      <c r="H16" s="8">
        <v>10</v>
      </c>
      <c r="I16" s="8">
        <v>10</v>
      </c>
      <c r="J16" s="47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>
      <c r="A17" s="27"/>
      <c r="B17" s="29" t="s">
        <v>26</v>
      </c>
      <c r="C17" s="74"/>
      <c r="D17" s="74"/>
      <c r="E17" s="22" t="s">
        <v>27</v>
      </c>
      <c r="F17" s="22"/>
      <c r="G17" s="8">
        <v>3</v>
      </c>
      <c r="H17" s="8">
        <v>4</v>
      </c>
      <c r="I17" s="8">
        <v>4</v>
      </c>
      <c r="J17" s="8">
        <v>3</v>
      </c>
      <c r="K17" s="47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</row>
    <row r="18" spans="1:26">
      <c r="A18" s="27"/>
      <c r="B18" s="32"/>
      <c r="C18" s="32"/>
      <c r="D18" s="31"/>
      <c r="E18" s="30"/>
      <c r="F18" s="31"/>
      <c r="G18"/>
      <c r="H18" s="8"/>
      <c r="I18" s="8"/>
      <c r="J18" s="8"/>
      <c r="K18" s="48">
        <v>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>
      <c r="A19" s="27"/>
      <c r="B19" s="29" t="s">
        <v>28</v>
      </c>
      <c r="C19" s="74"/>
      <c r="D19" s="74"/>
      <c r="E19" s="22" t="s">
        <v>29</v>
      </c>
      <c r="F19" s="22"/>
      <c r="G19" s="8">
        <v>4</v>
      </c>
      <c r="H19" s="8">
        <v>4</v>
      </c>
      <c r="I19" s="8">
        <v>4</v>
      </c>
      <c r="J19" s="8">
        <v>4</v>
      </c>
      <c r="K19" s="8">
        <v>4</v>
      </c>
      <c r="L19" s="47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>
      <c r="A20" s="27"/>
      <c r="B20" s="102" t="s">
        <v>30</v>
      </c>
      <c r="C20" s="28" t="s">
        <v>31</v>
      </c>
      <c r="D20" s="29"/>
      <c r="E20" s="22" t="s">
        <v>32</v>
      </c>
      <c r="F20" s="22"/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47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ht="15" customHeight="1" spans="1:26">
      <c r="A21" s="27"/>
      <c r="B21" s="102"/>
      <c r="C21" s="28" t="s">
        <v>33</v>
      </c>
      <c r="D21" s="29"/>
      <c r="E21" s="22" t="s">
        <v>32</v>
      </c>
      <c r="F21" s="22"/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47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ht="17.1" customHeight="1" spans="1:26">
      <c r="A22" s="27"/>
      <c r="B22" s="102"/>
      <c r="C22" s="28" t="s">
        <v>34</v>
      </c>
      <c r="D22" s="29"/>
      <c r="E22" s="22" t="s">
        <v>32</v>
      </c>
      <c r="F22" s="22"/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  <c r="M22" s="47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</row>
    <row r="23" spans="1:26">
      <c r="A23" s="27"/>
      <c r="B23" s="102"/>
      <c r="C23" s="28" t="s">
        <v>35</v>
      </c>
      <c r="D23" s="29"/>
      <c r="E23" s="22" t="s">
        <v>32</v>
      </c>
      <c r="F23" s="22"/>
      <c r="G23" s="8">
        <v>2</v>
      </c>
      <c r="H23" s="8">
        <v>1</v>
      </c>
      <c r="I23" s="8">
        <v>1</v>
      </c>
      <c r="J23" s="8">
        <v>1</v>
      </c>
      <c r="K23" s="8">
        <v>1</v>
      </c>
      <c r="L23" s="103">
        <v>1</v>
      </c>
      <c r="M23" s="8">
        <v>1</v>
      </c>
      <c r="N23" s="47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>
      <c r="A24" s="27"/>
      <c r="B24" s="102"/>
      <c r="C24" s="28"/>
      <c r="D24" s="29"/>
      <c r="E24" s="22"/>
      <c r="F24" s="22"/>
      <c r="G24"/>
      <c r="H24" s="8"/>
      <c r="I24" s="8"/>
      <c r="J24" s="8"/>
      <c r="K24" s="8"/>
      <c r="L24" s="8"/>
      <c r="M24" s="8"/>
      <c r="N24" s="79">
        <v>1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>
      <c r="A25" s="27"/>
      <c r="B25" s="102"/>
      <c r="C25" s="44" t="s">
        <v>36</v>
      </c>
      <c r="D25" s="29"/>
      <c r="E25" s="22" t="s">
        <v>32</v>
      </c>
      <c r="F25" s="22"/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8">
        <v>1</v>
      </c>
      <c r="N25" s="47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</row>
    <row r="26" spans="1:26">
      <c r="A26" s="27"/>
      <c r="B26" s="102"/>
      <c r="C26" s="28" t="s">
        <v>37</v>
      </c>
      <c r="D26" s="29"/>
      <c r="E26" s="22" t="s">
        <v>32</v>
      </c>
      <c r="F26" s="22"/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  <c r="M26" s="8">
        <v>1</v>
      </c>
      <c r="N26" s="47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</row>
    <row r="27" spans="1:26">
      <c r="A27" s="27"/>
      <c r="B27" s="102"/>
      <c r="C27" s="28" t="s">
        <v>38</v>
      </c>
      <c r="D27" s="29"/>
      <c r="E27" s="22" t="s">
        <v>32</v>
      </c>
      <c r="F27" s="22"/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8">
        <v>1</v>
      </c>
      <c r="N27" s="47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</row>
    <row r="28" spans="1:26">
      <c r="A28" s="27"/>
      <c r="B28" s="102"/>
      <c r="C28" s="28" t="s">
        <v>39</v>
      </c>
      <c r="D28" s="29"/>
      <c r="E28" s="22" t="s">
        <v>32</v>
      </c>
      <c r="F28" s="22"/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8">
        <v>1</v>
      </c>
      <c r="N28" s="8">
        <v>1</v>
      </c>
      <c r="O28" s="47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>
      <c r="A29" s="27"/>
      <c r="B29" s="102"/>
      <c r="C29" s="28" t="s">
        <v>40</v>
      </c>
      <c r="D29" s="29"/>
      <c r="E29" s="22" t="s">
        <v>32</v>
      </c>
      <c r="F29" s="22"/>
      <c r="G29" s="8">
        <v>1</v>
      </c>
      <c r="H29" s="8">
        <v>2</v>
      </c>
      <c r="I29" s="8">
        <v>2</v>
      </c>
      <c r="J29" s="8">
        <v>2</v>
      </c>
      <c r="K29" s="8">
        <v>2</v>
      </c>
      <c r="L29" s="8">
        <v>2</v>
      </c>
      <c r="M29" s="8">
        <v>2</v>
      </c>
      <c r="N29" s="8">
        <v>1</v>
      </c>
      <c r="O29" s="47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>
      <c r="A30" s="27"/>
      <c r="B30" s="102"/>
      <c r="C30" s="28"/>
      <c r="D30" s="29"/>
      <c r="E30" s="30"/>
      <c r="F30" s="31"/>
      <c r="G30"/>
      <c r="H30" s="8"/>
      <c r="I30" s="8"/>
      <c r="J30" s="8"/>
      <c r="K30" s="8"/>
      <c r="L30" s="8"/>
      <c r="M30" s="8"/>
      <c r="N30" s="8"/>
      <c r="O30" s="48">
        <v>1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>
      <c r="A31" s="27"/>
      <c r="B31" s="102"/>
      <c r="C31" s="28" t="s">
        <v>41</v>
      </c>
      <c r="D31" s="29"/>
      <c r="E31" s="22" t="s">
        <v>32</v>
      </c>
      <c r="F31" s="22"/>
      <c r="G31" s="8">
        <v>1</v>
      </c>
      <c r="H31" s="8">
        <v>2</v>
      </c>
      <c r="I31" s="8">
        <v>2</v>
      </c>
      <c r="J31" s="8">
        <v>2</v>
      </c>
      <c r="K31" s="8">
        <v>2</v>
      </c>
      <c r="L31" s="8">
        <v>2</v>
      </c>
      <c r="M31" s="8">
        <v>2</v>
      </c>
      <c r="N31" s="8">
        <v>1</v>
      </c>
      <c r="O31" s="47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>
      <c r="A32" s="27"/>
      <c r="B32" s="102"/>
      <c r="C32" s="32"/>
      <c r="D32" s="31"/>
      <c r="E32" s="30"/>
      <c r="F32" s="31"/>
      <c r="G32"/>
      <c r="H32" s="8"/>
      <c r="I32" s="8"/>
      <c r="J32" s="8"/>
      <c r="K32" s="8"/>
      <c r="L32" s="8"/>
      <c r="M32" s="8"/>
      <c r="N32" s="8"/>
      <c r="O32" s="48">
        <v>1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>
      <c r="A33" s="27"/>
      <c r="B33" s="102"/>
      <c r="C33" s="28" t="s">
        <v>42</v>
      </c>
      <c r="D33" s="29"/>
      <c r="E33" s="22" t="s">
        <v>25</v>
      </c>
      <c r="F33" s="22"/>
      <c r="G33" s="8">
        <v>5</v>
      </c>
      <c r="H33" s="8">
        <v>10</v>
      </c>
      <c r="I33" s="8">
        <v>10</v>
      </c>
      <c r="J33" s="8">
        <v>10</v>
      </c>
      <c r="K33" s="8">
        <v>10</v>
      </c>
      <c r="L33" s="8">
        <v>10</v>
      </c>
      <c r="M33" s="8">
        <v>10</v>
      </c>
      <c r="N33" s="8">
        <v>10</v>
      </c>
      <c r="O33" s="8">
        <v>5</v>
      </c>
      <c r="P33" s="47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</row>
    <row r="34" spans="1:26">
      <c r="A34" s="27"/>
      <c r="B34" s="102"/>
      <c r="C34" s="32"/>
      <c r="D34" s="31"/>
      <c r="E34" s="30"/>
      <c r="F34" s="31"/>
      <c r="G34"/>
      <c r="H34" s="8"/>
      <c r="I34" s="8"/>
      <c r="J34" s="8"/>
      <c r="K34" s="8"/>
      <c r="L34" s="8"/>
      <c r="M34" s="8"/>
      <c r="N34" s="8"/>
      <c r="O34" s="8"/>
      <c r="P34" s="48">
        <v>5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>
      <c r="A35" s="27"/>
      <c r="B35" s="102" t="s">
        <v>43</v>
      </c>
      <c r="C35" s="28" t="s">
        <v>44</v>
      </c>
      <c r="D35" s="29"/>
      <c r="E35" s="22" t="s">
        <v>29</v>
      </c>
      <c r="F35" s="22"/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  <c r="M35" s="8">
        <v>1</v>
      </c>
      <c r="N35" s="8">
        <v>1</v>
      </c>
      <c r="O35" s="8">
        <v>1</v>
      </c>
      <c r="P35" s="8">
        <v>1</v>
      </c>
      <c r="Q35" s="47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>
      <c r="A36" s="27"/>
      <c r="B36" s="102"/>
      <c r="C36" s="28" t="s">
        <v>45</v>
      </c>
      <c r="D36" s="29"/>
      <c r="E36" s="22" t="s">
        <v>29</v>
      </c>
      <c r="F36" s="22"/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  <c r="M36" s="8">
        <v>1</v>
      </c>
      <c r="N36" s="8">
        <v>1</v>
      </c>
      <c r="O36" s="8">
        <v>1</v>
      </c>
      <c r="P36" s="8">
        <v>1</v>
      </c>
      <c r="Q36" s="47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>
      <c r="A37" s="27"/>
      <c r="B37" s="102"/>
      <c r="C37" s="28" t="s">
        <v>46</v>
      </c>
      <c r="D37" s="29"/>
      <c r="E37" s="22" t="s">
        <v>29</v>
      </c>
      <c r="F37" s="22"/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8">
        <v>1</v>
      </c>
      <c r="O37" s="8">
        <v>1</v>
      </c>
      <c r="P37" s="8">
        <v>1</v>
      </c>
      <c r="Q37" s="47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>
      <c r="A38" s="27"/>
      <c r="B38" s="102"/>
      <c r="C38" s="28" t="s">
        <v>47</v>
      </c>
      <c r="D38" s="29"/>
      <c r="E38" s="22" t="s">
        <v>29</v>
      </c>
      <c r="F38" s="22"/>
      <c r="G38" s="8">
        <v>1</v>
      </c>
      <c r="H38" s="8">
        <v>1</v>
      </c>
      <c r="I38" s="8">
        <v>1</v>
      </c>
      <c r="J38" s="8">
        <v>1</v>
      </c>
      <c r="K38" s="8">
        <v>1</v>
      </c>
      <c r="L38" s="8">
        <v>1</v>
      </c>
      <c r="M38" s="8">
        <v>1</v>
      </c>
      <c r="N38" s="8">
        <v>1</v>
      </c>
      <c r="O38" s="8">
        <v>1</v>
      </c>
      <c r="P38" s="8">
        <v>1</v>
      </c>
      <c r="Q38" s="47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>
      <c r="A39" s="27"/>
      <c r="B39" s="102"/>
      <c r="C39" s="44" t="s">
        <v>48</v>
      </c>
      <c r="D39" s="29"/>
      <c r="E39" s="22" t="s">
        <v>29</v>
      </c>
      <c r="F39" s="22"/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  <c r="M39" s="8">
        <v>1</v>
      </c>
      <c r="N39" s="8">
        <v>1</v>
      </c>
      <c r="O39" s="8">
        <v>1</v>
      </c>
      <c r="P39" s="8">
        <v>1</v>
      </c>
      <c r="Q39" s="47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>
      <c r="A40" s="27"/>
      <c r="B40" s="102"/>
      <c r="C40" s="28" t="s">
        <v>49</v>
      </c>
      <c r="D40" s="29"/>
      <c r="E40" s="22" t="s">
        <v>29</v>
      </c>
      <c r="F40" s="22"/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  <c r="M40" s="8">
        <v>1</v>
      </c>
      <c r="N40" s="8">
        <v>1</v>
      </c>
      <c r="O40" s="8">
        <v>1</v>
      </c>
      <c r="P40" s="8">
        <v>1</v>
      </c>
      <c r="Q40" s="47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>
      <c r="A41" s="27"/>
      <c r="B41" s="102"/>
      <c r="C41" s="28" t="s">
        <v>50</v>
      </c>
      <c r="D41" s="29"/>
      <c r="E41" s="22" t="s">
        <v>29</v>
      </c>
      <c r="F41" s="22"/>
      <c r="G41" s="8">
        <v>1</v>
      </c>
      <c r="H41" s="8">
        <v>1</v>
      </c>
      <c r="I41" s="8">
        <v>1</v>
      </c>
      <c r="J41" s="8">
        <v>1</v>
      </c>
      <c r="K41" s="8">
        <v>1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104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>
      <c r="A42" s="27"/>
      <c r="B42" s="102"/>
      <c r="C42" s="28" t="s">
        <v>51</v>
      </c>
      <c r="D42" s="29"/>
      <c r="E42" s="22" t="s">
        <v>29</v>
      </c>
      <c r="F42" s="22"/>
      <c r="G42" s="8">
        <v>1</v>
      </c>
      <c r="H42" s="8">
        <v>1</v>
      </c>
      <c r="I42" s="8">
        <v>1</v>
      </c>
      <c r="J42" s="8">
        <v>1</v>
      </c>
      <c r="K42" s="8">
        <v>1</v>
      </c>
      <c r="L42" s="8">
        <v>1</v>
      </c>
      <c r="M42" s="8">
        <v>1</v>
      </c>
      <c r="N42" s="8">
        <v>1</v>
      </c>
      <c r="O42" s="8">
        <v>1</v>
      </c>
      <c r="P42" s="8">
        <v>1</v>
      </c>
      <c r="Q42" s="47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>
      <c r="A43" s="27"/>
      <c r="B43" s="102"/>
      <c r="C43" s="28" t="s">
        <v>52</v>
      </c>
      <c r="D43" s="29"/>
      <c r="E43" s="22" t="s">
        <v>29</v>
      </c>
      <c r="F43" s="22"/>
      <c r="G43" s="8">
        <v>2</v>
      </c>
      <c r="H43" s="8">
        <v>2</v>
      </c>
      <c r="I43" s="8">
        <v>2</v>
      </c>
      <c r="J43" s="8">
        <v>2</v>
      </c>
      <c r="K43" s="8">
        <v>2</v>
      </c>
      <c r="L43" s="8">
        <v>2</v>
      </c>
      <c r="M43" s="8">
        <v>2</v>
      </c>
      <c r="N43" s="8">
        <v>2</v>
      </c>
      <c r="O43" s="8">
        <v>2</v>
      </c>
      <c r="P43" s="8">
        <v>2</v>
      </c>
      <c r="Q43" s="47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>
      <c r="A44" s="27"/>
      <c r="B44" s="102"/>
      <c r="C44" s="28" t="s">
        <v>53</v>
      </c>
      <c r="D44" s="29"/>
      <c r="E44" s="22" t="s">
        <v>29</v>
      </c>
      <c r="F44" s="22"/>
      <c r="G44" s="8">
        <v>2</v>
      </c>
      <c r="H44" s="8">
        <v>2</v>
      </c>
      <c r="I44" s="8">
        <v>2</v>
      </c>
      <c r="J44" s="8">
        <v>2</v>
      </c>
      <c r="K44" s="8">
        <v>2</v>
      </c>
      <c r="L44" s="8">
        <v>2</v>
      </c>
      <c r="M44" s="8">
        <v>2</v>
      </c>
      <c r="N44" s="8">
        <v>2</v>
      </c>
      <c r="O44" s="8">
        <v>2</v>
      </c>
      <c r="P44" s="8">
        <v>2</v>
      </c>
      <c r="Q44" s="47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>
      <c r="A45" s="27"/>
      <c r="B45" s="102"/>
      <c r="C45" s="28" t="s">
        <v>54</v>
      </c>
      <c r="D45" s="29"/>
      <c r="E45" s="30" t="s">
        <v>25</v>
      </c>
      <c r="F45" s="31"/>
      <c r="G45" s="8">
        <v>4</v>
      </c>
      <c r="H45" s="8">
        <v>8</v>
      </c>
      <c r="I45" s="8">
        <v>8</v>
      </c>
      <c r="J45" s="8">
        <v>8</v>
      </c>
      <c r="K45" s="8">
        <v>8</v>
      </c>
      <c r="L45" s="8">
        <v>8</v>
      </c>
      <c r="M45" s="8">
        <v>8</v>
      </c>
      <c r="N45" s="8">
        <v>8</v>
      </c>
      <c r="O45" s="8">
        <v>8</v>
      </c>
      <c r="P45" s="8">
        <v>8</v>
      </c>
      <c r="Q45" s="8">
        <v>4</v>
      </c>
      <c r="R45" s="47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>
      <c r="A46" s="27"/>
      <c r="B46" s="102"/>
      <c r="C46" s="28"/>
      <c r="D46" s="29"/>
      <c r="E46" s="30"/>
      <c r="F46" s="31"/>
      <c r="G46"/>
      <c r="H46" s="8"/>
      <c r="I46" s="8"/>
      <c r="J46" s="8"/>
      <c r="K46" s="8"/>
      <c r="L46" s="8"/>
      <c r="M46" s="8"/>
      <c r="N46" s="8"/>
      <c r="O46" s="8"/>
      <c r="P46" s="8"/>
      <c r="Q46" s="8"/>
      <c r="R46" s="48">
        <v>4</v>
      </c>
      <c r="S46" s="8"/>
      <c r="T46" s="8"/>
      <c r="U46" s="8"/>
      <c r="V46" s="8"/>
      <c r="W46" s="8"/>
      <c r="X46" s="8"/>
      <c r="Y46" s="8"/>
      <c r="Z46" s="8"/>
    </row>
    <row r="47" spans="1:26">
      <c r="A47" s="27"/>
      <c r="B47" s="102" t="s">
        <v>55</v>
      </c>
      <c r="C47" s="28" t="s">
        <v>56</v>
      </c>
      <c r="D47" s="29"/>
      <c r="E47" s="22" t="s">
        <v>32</v>
      </c>
      <c r="F47" s="22"/>
      <c r="G47" s="8">
        <v>3</v>
      </c>
      <c r="H47" s="8">
        <v>3</v>
      </c>
      <c r="I47" s="8">
        <v>3</v>
      </c>
      <c r="J47" s="8">
        <v>3</v>
      </c>
      <c r="K47" s="8">
        <v>3</v>
      </c>
      <c r="L47" s="8">
        <v>3</v>
      </c>
      <c r="M47" s="8">
        <v>3</v>
      </c>
      <c r="N47" s="8">
        <v>3</v>
      </c>
      <c r="O47" s="8">
        <v>3</v>
      </c>
      <c r="P47" s="8">
        <v>3</v>
      </c>
      <c r="Q47" s="8">
        <v>3</v>
      </c>
      <c r="R47" s="8">
        <v>3</v>
      </c>
      <c r="S47" s="47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>
      <c r="A48" s="27"/>
      <c r="B48" s="102"/>
      <c r="C48" s="28" t="s">
        <v>57</v>
      </c>
      <c r="D48" s="29"/>
      <c r="E48" s="22" t="s">
        <v>32</v>
      </c>
      <c r="F48" s="22"/>
      <c r="G48" s="8">
        <v>1</v>
      </c>
      <c r="H48" s="8">
        <v>2</v>
      </c>
      <c r="I48" s="8">
        <v>2</v>
      </c>
      <c r="J48" s="8">
        <v>2</v>
      </c>
      <c r="K48" s="8">
        <v>2</v>
      </c>
      <c r="L48" s="8">
        <v>2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8">
        <v>1</v>
      </c>
      <c r="S48" s="47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>
      <c r="A49" s="27"/>
      <c r="B49" s="102"/>
      <c r="C49" s="59"/>
      <c r="D49" s="59"/>
      <c r="E49" s="22"/>
      <c r="F49" s="22"/>
      <c r="G49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48">
        <v>1</v>
      </c>
      <c r="T49" s="8"/>
      <c r="U49" s="8"/>
      <c r="V49" s="8"/>
      <c r="W49" s="8"/>
      <c r="X49" s="8"/>
      <c r="Y49" s="8"/>
      <c r="Z49" s="8"/>
    </row>
    <row r="50" spans="1:26">
      <c r="A50" s="27"/>
      <c r="B50" s="102"/>
      <c r="C50" s="28" t="s">
        <v>58</v>
      </c>
      <c r="D50" s="29"/>
      <c r="E50" s="22" t="s">
        <v>32</v>
      </c>
      <c r="F50" s="22"/>
      <c r="G50" s="8">
        <v>2</v>
      </c>
      <c r="H50" s="8">
        <v>2</v>
      </c>
      <c r="I50" s="8">
        <v>2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  <c r="Q50" s="8">
        <v>2</v>
      </c>
      <c r="R50" s="8">
        <v>2</v>
      </c>
      <c r="S50" s="47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>
      <c r="A51" s="27"/>
      <c r="B51" s="102"/>
      <c r="C51" s="28" t="s">
        <v>59</v>
      </c>
      <c r="D51" s="29"/>
      <c r="E51" s="22" t="s">
        <v>32</v>
      </c>
      <c r="F51" s="22"/>
      <c r="G51" s="8">
        <v>3</v>
      </c>
      <c r="H51" s="8">
        <v>3</v>
      </c>
      <c r="I51" s="8">
        <v>3</v>
      </c>
      <c r="J51" s="8">
        <v>3</v>
      </c>
      <c r="K51" s="8">
        <v>3</v>
      </c>
      <c r="L51" s="8">
        <v>3</v>
      </c>
      <c r="M51" s="8">
        <v>3</v>
      </c>
      <c r="N51" s="8">
        <v>3</v>
      </c>
      <c r="O51" s="8">
        <v>3</v>
      </c>
      <c r="P51" s="8">
        <v>3</v>
      </c>
      <c r="Q51" s="8">
        <v>3</v>
      </c>
      <c r="R51" s="8">
        <v>3</v>
      </c>
      <c r="S51" s="47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</row>
    <row r="52" spans="1:26">
      <c r="A52" s="27"/>
      <c r="B52" s="102"/>
      <c r="C52" s="44" t="s">
        <v>60</v>
      </c>
      <c r="D52" s="29"/>
      <c r="E52" s="22" t="s">
        <v>32</v>
      </c>
      <c r="F52" s="22"/>
      <c r="G52" s="8">
        <v>2</v>
      </c>
      <c r="H52" s="8">
        <v>1</v>
      </c>
      <c r="I52" s="8">
        <v>1</v>
      </c>
      <c r="J52" s="8">
        <v>1</v>
      </c>
      <c r="K52" s="8">
        <v>1</v>
      </c>
      <c r="L52" s="8">
        <v>1</v>
      </c>
      <c r="M52" s="8">
        <v>1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47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</row>
    <row r="53" spans="1:26">
      <c r="A53" s="27"/>
      <c r="B53" s="102"/>
      <c r="C53" s="30"/>
      <c r="D53" s="31"/>
      <c r="E53" s="22"/>
      <c r="F53" s="22"/>
      <c r="G5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79">
        <v>1</v>
      </c>
      <c r="T53" s="8"/>
      <c r="U53" s="8"/>
      <c r="V53" s="8"/>
      <c r="W53" s="8"/>
      <c r="X53" s="8"/>
      <c r="Y53" s="8"/>
      <c r="Z53" s="8"/>
    </row>
    <row r="54" spans="1:26">
      <c r="A54" s="27"/>
      <c r="B54" s="102"/>
      <c r="C54" s="28" t="s">
        <v>61</v>
      </c>
      <c r="D54" s="29"/>
      <c r="E54" s="22" t="s">
        <v>32</v>
      </c>
      <c r="F54" s="22"/>
      <c r="G54" s="8">
        <v>2</v>
      </c>
      <c r="H54" s="8">
        <v>2</v>
      </c>
      <c r="I54" s="8">
        <v>2</v>
      </c>
      <c r="J54" s="8">
        <v>2</v>
      </c>
      <c r="K54" s="8">
        <v>2</v>
      </c>
      <c r="L54" s="8">
        <v>2</v>
      </c>
      <c r="M54" s="8">
        <v>2</v>
      </c>
      <c r="N54" s="8">
        <v>2</v>
      </c>
      <c r="O54" s="8">
        <v>2</v>
      </c>
      <c r="P54" s="8">
        <v>2</v>
      </c>
      <c r="Q54" s="8">
        <v>2</v>
      </c>
      <c r="R54" s="8">
        <v>2</v>
      </c>
      <c r="S54" s="47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</row>
    <row r="55" spans="1:26">
      <c r="A55" s="27"/>
      <c r="B55" s="102"/>
      <c r="C55" s="28" t="s">
        <v>62</v>
      </c>
      <c r="D55" s="29"/>
      <c r="E55" s="22" t="s">
        <v>32</v>
      </c>
      <c r="F55" s="22"/>
      <c r="G55" s="8">
        <v>4</v>
      </c>
      <c r="H55" s="8">
        <v>4</v>
      </c>
      <c r="I55" s="8">
        <v>4</v>
      </c>
      <c r="J55" s="8">
        <v>4</v>
      </c>
      <c r="K55" s="8">
        <v>4</v>
      </c>
      <c r="L55" s="8">
        <v>4</v>
      </c>
      <c r="M55" s="8">
        <v>4</v>
      </c>
      <c r="N55" s="8">
        <v>4</v>
      </c>
      <c r="O55" s="8">
        <v>4</v>
      </c>
      <c r="P55" s="8">
        <v>4</v>
      </c>
      <c r="Q55" s="8">
        <v>4</v>
      </c>
      <c r="R55" s="8">
        <v>4</v>
      </c>
      <c r="S55" s="8">
        <v>4</v>
      </c>
      <c r="T55" s="47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</row>
    <row r="56" spans="1:26">
      <c r="A56" s="27"/>
      <c r="B56" s="102"/>
      <c r="C56" s="28" t="s">
        <v>63</v>
      </c>
      <c r="D56" s="29"/>
      <c r="E56" s="22" t="s">
        <v>64</v>
      </c>
      <c r="F56" s="22"/>
      <c r="G56" s="8">
        <v>3</v>
      </c>
      <c r="H56" s="8">
        <v>3</v>
      </c>
      <c r="I56" s="8">
        <v>3</v>
      </c>
      <c r="J56" s="8">
        <v>3</v>
      </c>
      <c r="K56" s="8">
        <v>3</v>
      </c>
      <c r="L56" s="8">
        <v>3</v>
      </c>
      <c r="M56" s="8">
        <v>3</v>
      </c>
      <c r="N56" s="8">
        <v>3</v>
      </c>
      <c r="O56" s="8">
        <v>3</v>
      </c>
      <c r="P56" s="8">
        <v>3</v>
      </c>
      <c r="Q56" s="8">
        <v>3</v>
      </c>
      <c r="R56" s="8">
        <v>3</v>
      </c>
      <c r="S56" s="8">
        <v>3</v>
      </c>
      <c r="T56" s="47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</row>
    <row r="57" spans="1:26">
      <c r="A57" s="27"/>
      <c r="B57" s="102"/>
      <c r="C57" s="28" t="s">
        <v>65</v>
      </c>
      <c r="D57" s="29"/>
      <c r="E57" s="22" t="s">
        <v>32</v>
      </c>
      <c r="F57" s="22"/>
      <c r="G57" s="8">
        <v>2</v>
      </c>
      <c r="H57" s="8">
        <v>4</v>
      </c>
      <c r="I57" s="8">
        <v>4</v>
      </c>
      <c r="J57" s="8">
        <v>4</v>
      </c>
      <c r="K57" s="8">
        <v>4</v>
      </c>
      <c r="L57" s="8">
        <v>4</v>
      </c>
      <c r="M57" s="8">
        <v>4</v>
      </c>
      <c r="N57" s="8">
        <v>4</v>
      </c>
      <c r="O57" s="8">
        <v>4</v>
      </c>
      <c r="P57" s="8">
        <v>4</v>
      </c>
      <c r="Q57" s="8">
        <v>4</v>
      </c>
      <c r="R57" s="8">
        <v>4</v>
      </c>
      <c r="S57" s="8">
        <v>2</v>
      </c>
      <c r="T57" s="47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</row>
    <row r="58" spans="1:26">
      <c r="A58" s="27"/>
      <c r="B58" s="102"/>
      <c r="C58" s="28"/>
      <c r="D58" s="29"/>
      <c r="E58" s="22"/>
      <c r="F58" s="22"/>
      <c r="G5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48">
        <v>2</v>
      </c>
      <c r="U58" s="8"/>
      <c r="V58" s="8"/>
      <c r="W58" s="8"/>
      <c r="X58" s="8"/>
      <c r="Y58" s="8"/>
      <c r="Z58" s="8"/>
    </row>
    <row r="59" spans="1:26">
      <c r="A59" s="27"/>
      <c r="B59" s="102"/>
      <c r="C59" s="28" t="s">
        <v>66</v>
      </c>
      <c r="D59" s="29"/>
      <c r="E59" s="22" t="s">
        <v>32</v>
      </c>
      <c r="F59" s="22"/>
      <c r="G59" s="8">
        <v>5</v>
      </c>
      <c r="H59" s="8">
        <v>4</v>
      </c>
      <c r="I59" s="8">
        <v>4</v>
      </c>
      <c r="J59" s="8">
        <v>4</v>
      </c>
      <c r="K59" s="8">
        <v>4</v>
      </c>
      <c r="L59" s="8">
        <v>4</v>
      </c>
      <c r="M59" s="8">
        <v>4</v>
      </c>
      <c r="N59" s="8">
        <v>4</v>
      </c>
      <c r="O59" s="8">
        <v>4</v>
      </c>
      <c r="P59" s="8">
        <v>4</v>
      </c>
      <c r="Q59" s="8">
        <v>4</v>
      </c>
      <c r="R59" s="8">
        <v>4</v>
      </c>
      <c r="S59" s="8">
        <v>4</v>
      </c>
      <c r="T59" s="47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</row>
    <row r="60" spans="1:26">
      <c r="A60" s="27"/>
      <c r="B60" s="102"/>
      <c r="C60" s="28"/>
      <c r="D60" s="29"/>
      <c r="E60" s="30"/>
      <c r="F60" s="31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79">
        <v>1</v>
      </c>
      <c r="U60" s="8"/>
      <c r="V60" s="8"/>
      <c r="W60" s="8"/>
      <c r="X60" s="8"/>
      <c r="Y60" s="8"/>
      <c r="Z60" s="8"/>
    </row>
    <row r="61" spans="1:26">
      <c r="A61" s="27"/>
      <c r="B61" s="102"/>
      <c r="C61" s="28" t="s">
        <v>67</v>
      </c>
      <c r="D61" s="29"/>
      <c r="E61" s="30" t="s">
        <v>27</v>
      </c>
      <c r="F61" s="31"/>
      <c r="G61" s="8">
        <v>2</v>
      </c>
      <c r="H61" s="8">
        <v>2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8">
        <v>2</v>
      </c>
      <c r="P61" s="8">
        <v>2</v>
      </c>
      <c r="Q61" s="8">
        <v>2</v>
      </c>
      <c r="R61" s="8">
        <v>2</v>
      </c>
      <c r="S61" s="8">
        <v>2</v>
      </c>
      <c r="T61" s="8">
        <v>2</v>
      </c>
      <c r="U61" s="47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</row>
    <row r="62" spans="1:26">
      <c r="A62" s="27"/>
      <c r="B62" s="102"/>
      <c r="C62" s="28" t="s">
        <v>68</v>
      </c>
      <c r="D62" s="29"/>
      <c r="E62" s="30" t="s">
        <v>69</v>
      </c>
      <c r="F62" s="31"/>
      <c r="G62" s="8">
        <v>2</v>
      </c>
      <c r="H62" s="8">
        <v>2</v>
      </c>
      <c r="I62" s="8">
        <v>2</v>
      </c>
      <c r="J62" s="8">
        <v>2</v>
      </c>
      <c r="K62" s="8">
        <v>2</v>
      </c>
      <c r="L62" s="8">
        <v>2</v>
      </c>
      <c r="M62" s="8">
        <v>2</v>
      </c>
      <c r="N62" s="8">
        <v>2</v>
      </c>
      <c r="O62" s="8">
        <v>2</v>
      </c>
      <c r="P62" s="8">
        <v>2</v>
      </c>
      <c r="Q62" s="8">
        <v>2</v>
      </c>
      <c r="R62" s="8">
        <v>2</v>
      </c>
      <c r="S62" s="8">
        <v>2</v>
      </c>
      <c r="T62" s="8">
        <v>2</v>
      </c>
      <c r="U62" s="47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</row>
    <row r="63" spans="1:26">
      <c r="A63" s="27"/>
      <c r="B63" s="102"/>
      <c r="C63" s="28" t="s">
        <v>70</v>
      </c>
      <c r="D63" s="29"/>
      <c r="E63" s="30" t="s">
        <v>27</v>
      </c>
      <c r="F63" s="31"/>
      <c r="G63" s="8">
        <v>2</v>
      </c>
      <c r="H63" s="8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v>2</v>
      </c>
      <c r="T63" s="8">
        <v>2</v>
      </c>
      <c r="U63" s="47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</row>
    <row r="64" spans="1:26">
      <c r="A64" s="27"/>
      <c r="B64" s="102"/>
      <c r="C64" s="28" t="s">
        <v>71</v>
      </c>
      <c r="D64" s="29"/>
      <c r="E64" s="30" t="s">
        <v>69</v>
      </c>
      <c r="F64" s="31"/>
      <c r="G64" s="8">
        <v>1</v>
      </c>
      <c r="H64" s="8">
        <v>2</v>
      </c>
      <c r="I64" s="8">
        <v>2</v>
      </c>
      <c r="J64" s="8">
        <v>2</v>
      </c>
      <c r="K64" s="8">
        <v>2</v>
      </c>
      <c r="L64" s="8">
        <v>2</v>
      </c>
      <c r="M64" s="8">
        <v>2</v>
      </c>
      <c r="N64" s="8">
        <v>2</v>
      </c>
      <c r="O64" s="8">
        <v>2</v>
      </c>
      <c r="P64" s="8">
        <v>2</v>
      </c>
      <c r="Q64" s="8">
        <v>2</v>
      </c>
      <c r="R64" s="8">
        <v>2</v>
      </c>
      <c r="S64" s="8">
        <v>2</v>
      </c>
      <c r="T64" s="8">
        <v>1</v>
      </c>
      <c r="U64" s="47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</row>
    <row r="65" spans="1:26">
      <c r="A65" s="27"/>
      <c r="B65" s="102"/>
      <c r="C65" s="28"/>
      <c r="D65" s="29"/>
      <c r="E65" s="30"/>
      <c r="F65" s="31"/>
      <c r="G65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48">
        <v>1</v>
      </c>
      <c r="V65" s="8"/>
      <c r="W65" s="8"/>
      <c r="X65" s="8"/>
      <c r="Y65" s="8"/>
      <c r="Z65" s="8"/>
    </row>
    <row r="66" spans="1:26">
      <c r="A66" s="27"/>
      <c r="B66" s="102"/>
      <c r="C66" s="44" t="s">
        <v>72</v>
      </c>
      <c r="D66" s="29"/>
      <c r="E66" s="30" t="s">
        <v>27</v>
      </c>
      <c r="F66" s="31"/>
      <c r="G66" s="8">
        <v>1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8">
        <v>1</v>
      </c>
      <c r="N66" s="8">
        <v>1</v>
      </c>
      <c r="O66" s="8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47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</row>
    <row r="67" spans="1:26">
      <c r="A67" s="27"/>
      <c r="B67" s="102"/>
      <c r="C67" s="28" t="s">
        <v>73</v>
      </c>
      <c r="D67" s="29"/>
      <c r="E67" s="30" t="s">
        <v>69</v>
      </c>
      <c r="F67" s="31"/>
      <c r="G67" s="8">
        <v>2</v>
      </c>
      <c r="H67" s="8">
        <v>2</v>
      </c>
      <c r="I67" s="8">
        <v>2</v>
      </c>
      <c r="J67" s="8">
        <v>2</v>
      </c>
      <c r="K67" s="8">
        <v>2</v>
      </c>
      <c r="L67" s="8">
        <v>2</v>
      </c>
      <c r="M67" s="8">
        <v>2</v>
      </c>
      <c r="N67" s="8">
        <v>2</v>
      </c>
      <c r="O67" s="8">
        <v>2</v>
      </c>
      <c r="P67" s="8">
        <v>2</v>
      </c>
      <c r="Q67" s="8">
        <v>2</v>
      </c>
      <c r="R67" s="8">
        <v>2</v>
      </c>
      <c r="S67" s="8">
        <v>2</v>
      </c>
      <c r="T67" s="8">
        <v>2</v>
      </c>
      <c r="U67" s="8">
        <v>2</v>
      </c>
      <c r="V67" s="47">
        <v>0</v>
      </c>
      <c r="W67" s="8">
        <v>0</v>
      </c>
      <c r="X67" s="8">
        <v>0</v>
      </c>
      <c r="Y67" s="8">
        <v>0</v>
      </c>
      <c r="Z67" s="8">
        <v>0</v>
      </c>
    </row>
    <row r="68" spans="1:26">
      <c r="A68" s="27"/>
      <c r="B68" s="102"/>
      <c r="C68" s="28" t="s">
        <v>74</v>
      </c>
      <c r="D68" s="29"/>
      <c r="E68" s="30" t="s">
        <v>27</v>
      </c>
      <c r="F68" s="31"/>
      <c r="G68" s="8">
        <v>3</v>
      </c>
      <c r="H68" s="8">
        <v>3</v>
      </c>
      <c r="I68" s="8">
        <v>3</v>
      </c>
      <c r="J68" s="8">
        <v>3</v>
      </c>
      <c r="K68" s="8">
        <v>3</v>
      </c>
      <c r="L68" s="8">
        <v>3</v>
      </c>
      <c r="M68" s="8">
        <v>3</v>
      </c>
      <c r="N68" s="8">
        <v>3</v>
      </c>
      <c r="O68" s="8">
        <v>3</v>
      </c>
      <c r="P68" s="8">
        <v>3</v>
      </c>
      <c r="Q68" s="8">
        <v>3</v>
      </c>
      <c r="R68" s="8">
        <v>3</v>
      </c>
      <c r="S68" s="8">
        <v>3</v>
      </c>
      <c r="T68" s="8">
        <v>3</v>
      </c>
      <c r="U68" s="8">
        <v>3</v>
      </c>
      <c r="V68" s="47">
        <v>0</v>
      </c>
      <c r="W68" s="8">
        <v>0</v>
      </c>
      <c r="X68" s="8">
        <v>0</v>
      </c>
      <c r="Y68" s="8">
        <v>0</v>
      </c>
      <c r="Z68" s="8">
        <v>0</v>
      </c>
    </row>
    <row r="69" spans="1:26">
      <c r="A69" s="27"/>
      <c r="B69" s="102"/>
      <c r="C69" s="28" t="s">
        <v>75</v>
      </c>
      <c r="D69" s="29"/>
      <c r="E69" s="30" t="s">
        <v>27</v>
      </c>
      <c r="F69" s="31"/>
      <c r="G69" s="8">
        <v>3</v>
      </c>
      <c r="H69" s="8">
        <v>3</v>
      </c>
      <c r="I69" s="8">
        <v>3</v>
      </c>
      <c r="J69" s="8">
        <v>3</v>
      </c>
      <c r="K69" s="8">
        <v>3</v>
      </c>
      <c r="L69" s="8">
        <v>3</v>
      </c>
      <c r="M69" s="8">
        <v>3</v>
      </c>
      <c r="N69" s="8">
        <v>3</v>
      </c>
      <c r="O69" s="8">
        <v>3</v>
      </c>
      <c r="P69" s="8">
        <v>3</v>
      </c>
      <c r="Q69" s="8">
        <v>3</v>
      </c>
      <c r="R69" s="8">
        <v>3</v>
      </c>
      <c r="S69" s="8">
        <v>3</v>
      </c>
      <c r="T69" s="8">
        <v>3</v>
      </c>
      <c r="U69" s="8">
        <v>3</v>
      </c>
      <c r="V69" s="47">
        <v>0</v>
      </c>
      <c r="W69" s="8">
        <v>0</v>
      </c>
      <c r="X69" s="8">
        <v>0</v>
      </c>
      <c r="Y69" s="8">
        <v>0</v>
      </c>
      <c r="Z69" s="8">
        <v>0</v>
      </c>
    </row>
    <row r="70" spans="1:26">
      <c r="A70" s="27"/>
      <c r="B70" s="102"/>
      <c r="C70" s="28" t="s">
        <v>76</v>
      </c>
      <c r="D70" s="29"/>
      <c r="E70" s="30" t="s">
        <v>27</v>
      </c>
      <c r="F70" s="31"/>
      <c r="G70" s="8">
        <v>3</v>
      </c>
      <c r="H70" s="8">
        <v>4</v>
      </c>
      <c r="I70" s="8">
        <v>4</v>
      </c>
      <c r="J70" s="8">
        <v>4</v>
      </c>
      <c r="K70" s="8">
        <v>4</v>
      </c>
      <c r="L70" s="8">
        <v>4</v>
      </c>
      <c r="M70" s="8">
        <v>4</v>
      </c>
      <c r="N70" s="8">
        <v>4</v>
      </c>
      <c r="O70" s="8">
        <v>4</v>
      </c>
      <c r="P70" s="8">
        <v>4</v>
      </c>
      <c r="Q70" s="8">
        <v>4</v>
      </c>
      <c r="R70" s="8">
        <v>4</v>
      </c>
      <c r="S70" s="8">
        <v>4</v>
      </c>
      <c r="T70" s="8">
        <v>4</v>
      </c>
      <c r="U70" s="8">
        <v>4</v>
      </c>
      <c r="V70" s="8">
        <v>3</v>
      </c>
      <c r="W70" s="47">
        <v>0</v>
      </c>
      <c r="X70" s="8">
        <v>0</v>
      </c>
      <c r="Y70" s="8">
        <v>0</v>
      </c>
      <c r="Z70" s="8">
        <v>0</v>
      </c>
    </row>
    <row r="71" spans="1:26">
      <c r="A71" s="27"/>
      <c r="B71" s="102"/>
      <c r="C71" s="28"/>
      <c r="D71" s="29"/>
      <c r="E71" s="30"/>
      <c r="F71" s="31"/>
      <c r="G7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48">
        <v>1</v>
      </c>
      <c r="X71" s="8"/>
      <c r="Y71" s="8"/>
      <c r="Z71" s="8"/>
    </row>
    <row r="72" spans="1:26">
      <c r="A72" s="27"/>
      <c r="B72" s="102"/>
      <c r="C72" s="28" t="s">
        <v>77</v>
      </c>
      <c r="D72" s="29"/>
      <c r="E72" s="30" t="s">
        <v>27</v>
      </c>
      <c r="F72" s="31"/>
      <c r="G72" s="8">
        <v>3</v>
      </c>
      <c r="H72" s="8">
        <v>2</v>
      </c>
      <c r="I72" s="8">
        <v>2</v>
      </c>
      <c r="J72" s="8">
        <v>2</v>
      </c>
      <c r="K72" s="8">
        <v>2</v>
      </c>
      <c r="L72" s="8">
        <v>2</v>
      </c>
      <c r="M72" s="8">
        <v>2</v>
      </c>
      <c r="N72" s="8">
        <v>2</v>
      </c>
      <c r="O72" s="8">
        <v>2</v>
      </c>
      <c r="P72" s="8">
        <v>2</v>
      </c>
      <c r="Q72" s="8">
        <v>2</v>
      </c>
      <c r="R72" s="8">
        <v>2</v>
      </c>
      <c r="S72" s="8">
        <v>2</v>
      </c>
      <c r="T72" s="8">
        <v>2</v>
      </c>
      <c r="U72" s="8">
        <v>2</v>
      </c>
      <c r="V72" s="8">
        <v>2</v>
      </c>
      <c r="W72" s="47">
        <v>0</v>
      </c>
      <c r="X72" s="8">
        <v>0</v>
      </c>
      <c r="Y72" s="8">
        <v>0</v>
      </c>
      <c r="Z72" s="8">
        <v>0</v>
      </c>
    </row>
    <row r="73" spans="1:26">
      <c r="A73" s="27"/>
      <c r="B73" s="102"/>
      <c r="C73" s="28"/>
      <c r="D73" s="29"/>
      <c r="E73" s="30"/>
      <c r="F73" s="31"/>
      <c r="G7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79">
        <v>1</v>
      </c>
      <c r="X73" s="8"/>
      <c r="Y73" s="8"/>
      <c r="Z73" s="8"/>
    </row>
    <row r="74" spans="1:26">
      <c r="A74" s="27"/>
      <c r="B74" s="102"/>
      <c r="C74" s="28" t="s">
        <v>78</v>
      </c>
      <c r="D74" s="29"/>
      <c r="E74" s="30" t="s">
        <v>25</v>
      </c>
      <c r="F74" s="31"/>
      <c r="G74" s="8">
        <v>5</v>
      </c>
      <c r="H74" s="8">
        <v>6</v>
      </c>
      <c r="I74" s="8">
        <v>6</v>
      </c>
      <c r="J74" s="8">
        <v>6</v>
      </c>
      <c r="K74" s="8">
        <v>6</v>
      </c>
      <c r="L74" s="8">
        <v>6</v>
      </c>
      <c r="M74" s="8">
        <v>6</v>
      </c>
      <c r="N74" s="8">
        <v>6</v>
      </c>
      <c r="O74" s="8">
        <v>6</v>
      </c>
      <c r="P74" s="8">
        <v>6</v>
      </c>
      <c r="Q74" s="8">
        <v>6</v>
      </c>
      <c r="R74" s="8">
        <v>6</v>
      </c>
      <c r="S74" s="8">
        <v>6</v>
      </c>
      <c r="T74" s="8">
        <v>6</v>
      </c>
      <c r="U74" s="8">
        <v>6</v>
      </c>
      <c r="V74" s="8">
        <v>5</v>
      </c>
      <c r="W74" s="47">
        <v>0</v>
      </c>
      <c r="X74" s="8">
        <v>0</v>
      </c>
      <c r="Y74" s="8">
        <v>0</v>
      </c>
      <c r="Z74" s="8">
        <v>0</v>
      </c>
    </row>
    <row r="75" spans="1:26">
      <c r="A75" s="27"/>
      <c r="B75" s="102"/>
      <c r="C75" s="28"/>
      <c r="D75" s="29"/>
      <c r="E75" s="30"/>
      <c r="F75" s="31"/>
      <c r="G75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48">
        <v>1</v>
      </c>
      <c r="X75" s="8"/>
      <c r="Y75" s="8"/>
      <c r="Z75" s="8"/>
    </row>
    <row r="76" spans="1:26">
      <c r="A76" s="27"/>
      <c r="B76" s="102" t="s">
        <v>79</v>
      </c>
      <c r="C76" s="28" t="s">
        <v>80</v>
      </c>
      <c r="D76" s="29"/>
      <c r="E76" s="30" t="s">
        <v>29</v>
      </c>
      <c r="F76" s="31"/>
      <c r="G76" s="8">
        <v>1</v>
      </c>
      <c r="H76" s="8">
        <v>2</v>
      </c>
      <c r="I76" s="8">
        <v>2</v>
      </c>
      <c r="J76" s="8">
        <v>2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2</v>
      </c>
      <c r="Q76" s="8">
        <v>2</v>
      </c>
      <c r="R76" s="8">
        <v>2</v>
      </c>
      <c r="S76" s="8">
        <v>2</v>
      </c>
      <c r="T76" s="8">
        <v>2</v>
      </c>
      <c r="U76" s="8">
        <v>2</v>
      </c>
      <c r="V76" s="8">
        <v>2</v>
      </c>
      <c r="W76" s="8">
        <v>1</v>
      </c>
      <c r="X76" s="47">
        <v>0</v>
      </c>
      <c r="Y76" s="8">
        <v>0</v>
      </c>
      <c r="Z76" s="8">
        <v>0</v>
      </c>
    </row>
    <row r="77" spans="1:26">
      <c r="A77" s="27"/>
      <c r="B77" s="102"/>
      <c r="C77" s="59"/>
      <c r="D77" s="59"/>
      <c r="E77" s="30"/>
      <c r="F77" s="31"/>
      <c r="G77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48">
        <v>1</v>
      </c>
      <c r="Y77" s="8"/>
      <c r="Z77" s="8"/>
    </row>
    <row r="78" spans="1:26">
      <c r="A78" s="27"/>
      <c r="B78" s="102"/>
      <c r="C78" s="28" t="s">
        <v>81</v>
      </c>
      <c r="D78" s="29"/>
      <c r="E78" s="30" t="s">
        <v>29</v>
      </c>
      <c r="F78" s="31"/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  <c r="M78" s="8">
        <v>1</v>
      </c>
      <c r="N78" s="8">
        <v>1</v>
      </c>
      <c r="O78" s="8">
        <v>1</v>
      </c>
      <c r="P78" s="8">
        <v>1</v>
      </c>
      <c r="Q78" s="8">
        <v>1</v>
      </c>
      <c r="R78" s="8">
        <v>1</v>
      </c>
      <c r="S78" s="8">
        <v>1</v>
      </c>
      <c r="T78" s="8">
        <v>1</v>
      </c>
      <c r="U78" s="8">
        <v>1</v>
      </c>
      <c r="V78" s="8">
        <v>1</v>
      </c>
      <c r="W78" s="8">
        <v>1</v>
      </c>
      <c r="X78" s="47">
        <v>0</v>
      </c>
      <c r="Y78" s="8">
        <v>0</v>
      </c>
      <c r="Z78" s="8">
        <v>0</v>
      </c>
    </row>
    <row r="79" spans="1:26">
      <c r="A79" s="27"/>
      <c r="B79" s="102"/>
      <c r="C79" s="28" t="s">
        <v>82</v>
      </c>
      <c r="D79" s="29"/>
      <c r="E79" s="30" t="s">
        <v>29</v>
      </c>
      <c r="F79" s="31"/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  <c r="M79" s="8">
        <v>1</v>
      </c>
      <c r="N79" s="8">
        <v>1</v>
      </c>
      <c r="O79" s="8">
        <v>1</v>
      </c>
      <c r="P79" s="8">
        <v>1</v>
      </c>
      <c r="Q79" s="8">
        <v>1</v>
      </c>
      <c r="R79" s="8">
        <v>1</v>
      </c>
      <c r="S79" s="8">
        <v>1</v>
      </c>
      <c r="T79" s="8">
        <v>1</v>
      </c>
      <c r="U79" s="8">
        <v>1</v>
      </c>
      <c r="V79" s="8">
        <v>1</v>
      </c>
      <c r="W79" s="8">
        <v>1</v>
      </c>
      <c r="X79" s="47">
        <v>0</v>
      </c>
      <c r="Y79" s="8">
        <v>0</v>
      </c>
      <c r="Z79" s="8">
        <v>0</v>
      </c>
    </row>
    <row r="80" spans="1:26">
      <c r="A80" s="27"/>
      <c r="B80" s="102"/>
      <c r="C80" s="28" t="s">
        <v>83</v>
      </c>
      <c r="D80" s="29"/>
      <c r="E80" s="30" t="s">
        <v>29</v>
      </c>
      <c r="F80" s="31"/>
      <c r="G80" s="8">
        <v>1</v>
      </c>
      <c r="H80" s="8">
        <v>1</v>
      </c>
      <c r="I80" s="8">
        <v>1</v>
      </c>
      <c r="J80" s="8">
        <v>1</v>
      </c>
      <c r="K80" s="8">
        <v>1</v>
      </c>
      <c r="L80" s="8">
        <v>1</v>
      </c>
      <c r="M80" s="8">
        <v>1</v>
      </c>
      <c r="N80" s="8">
        <v>1</v>
      </c>
      <c r="O80" s="8">
        <v>1</v>
      </c>
      <c r="P80" s="8">
        <v>1</v>
      </c>
      <c r="Q80" s="8">
        <v>1</v>
      </c>
      <c r="R80" s="8">
        <v>1</v>
      </c>
      <c r="S80" s="8">
        <v>1</v>
      </c>
      <c r="T80" s="8">
        <v>1</v>
      </c>
      <c r="U80" s="8">
        <v>1</v>
      </c>
      <c r="V80" s="8">
        <v>1</v>
      </c>
      <c r="W80" s="8">
        <v>1</v>
      </c>
      <c r="X80" s="47">
        <v>0</v>
      </c>
      <c r="Y80" s="8">
        <v>0</v>
      </c>
      <c r="Z80" s="8">
        <v>0</v>
      </c>
    </row>
    <row r="81" spans="1:26">
      <c r="A81" s="27"/>
      <c r="B81" s="102"/>
      <c r="C81" s="44" t="s">
        <v>84</v>
      </c>
      <c r="D81" s="29"/>
      <c r="E81" s="30" t="s">
        <v>29</v>
      </c>
      <c r="F81" s="31"/>
      <c r="G81" s="8">
        <v>1</v>
      </c>
      <c r="H81" s="8">
        <v>1</v>
      </c>
      <c r="I81" s="8">
        <v>1</v>
      </c>
      <c r="J81" s="8">
        <v>1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>
        <v>1</v>
      </c>
      <c r="X81" s="47">
        <v>0</v>
      </c>
      <c r="Y81" s="8">
        <v>0</v>
      </c>
      <c r="Z81" s="8">
        <v>0</v>
      </c>
    </row>
    <row r="82" spans="1:26">
      <c r="A82" s="27"/>
      <c r="B82" s="102"/>
      <c r="C82" s="28" t="s">
        <v>85</v>
      </c>
      <c r="D82" s="29"/>
      <c r="E82" s="30" t="s">
        <v>29</v>
      </c>
      <c r="F82" s="31"/>
      <c r="G82" s="8">
        <v>1</v>
      </c>
      <c r="H82" s="8">
        <v>1</v>
      </c>
      <c r="I82" s="8">
        <v>1</v>
      </c>
      <c r="J82" s="8">
        <v>1</v>
      </c>
      <c r="K82" s="8">
        <v>1</v>
      </c>
      <c r="L82" s="8">
        <v>1</v>
      </c>
      <c r="M82" s="8">
        <v>1</v>
      </c>
      <c r="N82" s="8">
        <v>1</v>
      </c>
      <c r="O82" s="8">
        <v>1</v>
      </c>
      <c r="P82" s="8">
        <v>1</v>
      </c>
      <c r="Q82" s="8">
        <v>1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8">
        <v>1</v>
      </c>
      <c r="X82" s="47">
        <v>0</v>
      </c>
      <c r="Y82" s="8">
        <v>0</v>
      </c>
      <c r="Z82" s="8">
        <v>0</v>
      </c>
    </row>
    <row r="83" spans="1:26">
      <c r="A83" s="27"/>
      <c r="B83" s="102"/>
      <c r="C83" s="28" t="s">
        <v>86</v>
      </c>
      <c r="D83" s="29"/>
      <c r="E83" s="30" t="s">
        <v>29</v>
      </c>
      <c r="F83" s="31"/>
      <c r="G83" s="8">
        <v>1</v>
      </c>
      <c r="H83" s="8">
        <v>1</v>
      </c>
      <c r="I83" s="8">
        <v>1</v>
      </c>
      <c r="J83" s="8">
        <v>1</v>
      </c>
      <c r="K83" s="8">
        <v>1</v>
      </c>
      <c r="L83" s="8">
        <v>1</v>
      </c>
      <c r="M83" s="8">
        <v>1</v>
      </c>
      <c r="N83" s="8">
        <v>1</v>
      </c>
      <c r="O83" s="8">
        <v>1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8">
        <v>1</v>
      </c>
      <c r="X83" s="47">
        <v>0</v>
      </c>
      <c r="Y83" s="8">
        <v>0</v>
      </c>
      <c r="Z83" s="8">
        <v>0</v>
      </c>
    </row>
    <row r="84" spans="1:26">
      <c r="A84" s="27"/>
      <c r="B84" s="102"/>
      <c r="C84" s="28" t="s">
        <v>87</v>
      </c>
      <c r="D84" s="29"/>
      <c r="E84" s="30" t="s">
        <v>29</v>
      </c>
      <c r="F84" s="31"/>
      <c r="G84" s="8">
        <v>1</v>
      </c>
      <c r="H84" s="8">
        <v>1</v>
      </c>
      <c r="I84" s="8">
        <v>1</v>
      </c>
      <c r="J84" s="8">
        <v>1</v>
      </c>
      <c r="K84" s="8">
        <v>1</v>
      </c>
      <c r="L84" s="8">
        <v>1</v>
      </c>
      <c r="M84" s="8">
        <v>1</v>
      </c>
      <c r="N84" s="8">
        <v>1</v>
      </c>
      <c r="O84" s="8">
        <v>1</v>
      </c>
      <c r="P84" s="8">
        <v>1</v>
      </c>
      <c r="Q84" s="8">
        <v>1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8">
        <v>1</v>
      </c>
      <c r="X84" s="47">
        <v>0</v>
      </c>
      <c r="Y84" s="8">
        <v>0</v>
      </c>
      <c r="Z84" s="8">
        <v>0</v>
      </c>
    </row>
    <row r="85" spans="1:26">
      <c r="A85" s="27"/>
      <c r="B85" s="102"/>
      <c r="C85" s="28" t="s">
        <v>88</v>
      </c>
      <c r="D85" s="29"/>
      <c r="E85" s="30" t="s">
        <v>29</v>
      </c>
      <c r="F85" s="31"/>
      <c r="G85" s="8">
        <v>2</v>
      </c>
      <c r="H85" s="8">
        <v>2</v>
      </c>
      <c r="I85" s="8">
        <v>2</v>
      </c>
      <c r="J85" s="8">
        <v>2</v>
      </c>
      <c r="K85" s="8">
        <v>2</v>
      </c>
      <c r="L85" s="8">
        <v>2</v>
      </c>
      <c r="M85" s="8">
        <v>2</v>
      </c>
      <c r="N85" s="8">
        <v>2</v>
      </c>
      <c r="O85" s="8">
        <v>2</v>
      </c>
      <c r="P85" s="8">
        <v>2</v>
      </c>
      <c r="Q85" s="8">
        <v>2</v>
      </c>
      <c r="R85" s="8">
        <v>2</v>
      </c>
      <c r="S85" s="8">
        <v>2</v>
      </c>
      <c r="T85" s="8">
        <v>2</v>
      </c>
      <c r="U85" s="8">
        <v>2</v>
      </c>
      <c r="V85" s="8">
        <v>2</v>
      </c>
      <c r="W85" s="8">
        <v>2</v>
      </c>
      <c r="X85" s="47">
        <v>0</v>
      </c>
      <c r="Y85" s="8">
        <v>0</v>
      </c>
      <c r="Z85" s="8">
        <v>0</v>
      </c>
    </row>
    <row r="86" spans="1:26">
      <c r="A86" s="27"/>
      <c r="B86" s="102"/>
      <c r="C86" s="28" t="s">
        <v>89</v>
      </c>
      <c r="D86" s="29"/>
      <c r="E86" s="30" t="s">
        <v>29</v>
      </c>
      <c r="F86" s="31"/>
      <c r="G86" s="8">
        <v>2</v>
      </c>
      <c r="H86" s="8">
        <v>2</v>
      </c>
      <c r="I86" s="8">
        <v>2</v>
      </c>
      <c r="J86" s="8">
        <v>2</v>
      </c>
      <c r="K86" s="8">
        <v>2</v>
      </c>
      <c r="L86" s="8">
        <v>2</v>
      </c>
      <c r="M86" s="8">
        <v>2</v>
      </c>
      <c r="N86" s="8">
        <v>2</v>
      </c>
      <c r="O86" s="8">
        <v>2</v>
      </c>
      <c r="P86" s="8">
        <v>2</v>
      </c>
      <c r="Q86" s="8">
        <v>2</v>
      </c>
      <c r="R86" s="8">
        <v>2</v>
      </c>
      <c r="S86" s="8">
        <v>2</v>
      </c>
      <c r="T86" s="8">
        <v>2</v>
      </c>
      <c r="U86" s="8">
        <v>2</v>
      </c>
      <c r="V86" s="8">
        <v>2</v>
      </c>
      <c r="W86" s="8">
        <v>2</v>
      </c>
      <c r="X86" s="47">
        <v>0</v>
      </c>
      <c r="Y86" s="8">
        <v>0</v>
      </c>
      <c r="Z86" s="8">
        <v>0</v>
      </c>
    </row>
    <row r="87" spans="1:26">
      <c r="A87" s="27"/>
      <c r="B87" s="102" t="s">
        <v>90</v>
      </c>
      <c r="C87" s="105" t="s">
        <v>91</v>
      </c>
      <c r="D87" s="106"/>
      <c r="E87" s="30" t="s">
        <v>32</v>
      </c>
      <c r="F87" s="31"/>
      <c r="G87" s="8">
        <v>1</v>
      </c>
      <c r="H87" s="8">
        <v>1</v>
      </c>
      <c r="I87" s="8">
        <v>1</v>
      </c>
      <c r="J87" s="8">
        <v>1</v>
      </c>
      <c r="K87" s="8">
        <v>1</v>
      </c>
      <c r="L87" s="8">
        <v>1</v>
      </c>
      <c r="M87" s="8">
        <v>1</v>
      </c>
      <c r="N87" s="8">
        <v>1</v>
      </c>
      <c r="O87" s="8">
        <v>1</v>
      </c>
      <c r="P87" s="8">
        <v>1</v>
      </c>
      <c r="Q87" s="8">
        <v>1</v>
      </c>
      <c r="R87" s="8">
        <v>1</v>
      </c>
      <c r="S87" s="8">
        <v>1</v>
      </c>
      <c r="T87" s="8">
        <v>1</v>
      </c>
      <c r="U87" s="8">
        <v>1</v>
      </c>
      <c r="V87" s="8">
        <v>1</v>
      </c>
      <c r="W87" s="8">
        <v>1</v>
      </c>
      <c r="X87" s="8">
        <v>1</v>
      </c>
      <c r="Y87" s="47">
        <v>0</v>
      </c>
      <c r="Z87" s="8">
        <v>0</v>
      </c>
    </row>
    <row r="88" spans="1:26">
      <c r="A88" s="27"/>
      <c r="B88" s="102"/>
      <c r="C88" s="105" t="s">
        <v>92</v>
      </c>
      <c r="D88" s="106"/>
      <c r="E88" s="30" t="s">
        <v>32</v>
      </c>
      <c r="F88" s="31"/>
      <c r="G88" s="8">
        <v>1</v>
      </c>
      <c r="H88" s="8">
        <v>1</v>
      </c>
      <c r="I88" s="8">
        <v>1</v>
      </c>
      <c r="J88" s="8">
        <v>1</v>
      </c>
      <c r="K88" s="8">
        <v>1</v>
      </c>
      <c r="L88" s="8">
        <v>1</v>
      </c>
      <c r="M88" s="8">
        <v>1</v>
      </c>
      <c r="N88" s="8">
        <v>1</v>
      </c>
      <c r="O88" s="8">
        <v>1</v>
      </c>
      <c r="P88" s="8">
        <v>1</v>
      </c>
      <c r="Q88" s="8">
        <v>1</v>
      </c>
      <c r="R88" s="8">
        <v>1</v>
      </c>
      <c r="S88" s="8">
        <v>1</v>
      </c>
      <c r="T88" s="8">
        <v>1</v>
      </c>
      <c r="U88" s="8">
        <v>1</v>
      </c>
      <c r="V88" s="8">
        <v>1</v>
      </c>
      <c r="W88" s="8">
        <v>1</v>
      </c>
      <c r="X88" s="8">
        <v>1</v>
      </c>
      <c r="Y88" s="47">
        <v>0</v>
      </c>
      <c r="Z88" s="8">
        <v>0</v>
      </c>
    </row>
    <row r="89" spans="1:26">
      <c r="A89" s="27"/>
      <c r="B89" s="102"/>
      <c r="C89" s="105" t="s">
        <v>93</v>
      </c>
      <c r="D89" s="106"/>
      <c r="E89" s="30" t="s">
        <v>32</v>
      </c>
      <c r="F89" s="31"/>
      <c r="G89" s="8">
        <v>1</v>
      </c>
      <c r="H89" s="8">
        <v>1</v>
      </c>
      <c r="I89" s="8">
        <v>1</v>
      </c>
      <c r="J89" s="8">
        <v>1</v>
      </c>
      <c r="K89" s="8">
        <v>1</v>
      </c>
      <c r="L89" s="8">
        <v>1</v>
      </c>
      <c r="M89" s="8">
        <v>1</v>
      </c>
      <c r="N89" s="8">
        <v>1</v>
      </c>
      <c r="O89" s="8">
        <v>1</v>
      </c>
      <c r="P89" s="8">
        <v>1</v>
      </c>
      <c r="Q89" s="8">
        <v>1</v>
      </c>
      <c r="R89" s="8">
        <v>1</v>
      </c>
      <c r="S89" s="8">
        <v>1</v>
      </c>
      <c r="T89" s="8">
        <v>1</v>
      </c>
      <c r="U89" s="8">
        <v>1</v>
      </c>
      <c r="V89" s="8">
        <v>1</v>
      </c>
      <c r="W89" s="8">
        <v>1</v>
      </c>
      <c r="X89" s="8">
        <v>1</v>
      </c>
      <c r="Y89" s="47">
        <v>0</v>
      </c>
      <c r="Z89" s="8">
        <v>0</v>
      </c>
    </row>
    <row r="90" spans="1:26">
      <c r="A90" s="27"/>
      <c r="B90" s="102"/>
      <c r="C90" s="105" t="s">
        <v>94</v>
      </c>
      <c r="D90" s="106"/>
      <c r="E90" s="30" t="s">
        <v>32</v>
      </c>
      <c r="F90" s="31"/>
      <c r="G90" s="8">
        <v>1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  <c r="M90" s="8">
        <v>1</v>
      </c>
      <c r="N90" s="8">
        <v>1</v>
      </c>
      <c r="O90" s="8">
        <v>1</v>
      </c>
      <c r="P90" s="8">
        <v>1</v>
      </c>
      <c r="Q90" s="8">
        <v>1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8">
        <v>1</v>
      </c>
      <c r="X90" s="8">
        <v>1</v>
      </c>
      <c r="Y90" s="47">
        <v>0</v>
      </c>
      <c r="Z90" s="8">
        <v>0</v>
      </c>
    </row>
    <row r="91" spans="1:26">
      <c r="A91" s="27"/>
      <c r="B91" s="102"/>
      <c r="C91" s="44" t="s">
        <v>95</v>
      </c>
      <c r="D91" s="29"/>
      <c r="E91" s="22" t="s">
        <v>32</v>
      </c>
      <c r="F91" s="22"/>
      <c r="G91" s="8">
        <v>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  <c r="M91" s="8">
        <v>1</v>
      </c>
      <c r="N91" s="8">
        <v>1</v>
      </c>
      <c r="O91" s="8">
        <v>1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1</v>
      </c>
      <c r="W91" s="8">
        <v>1</v>
      </c>
      <c r="X91" s="8">
        <v>1</v>
      </c>
      <c r="Y91" s="47">
        <v>0</v>
      </c>
      <c r="Z91" s="8"/>
    </row>
    <row r="92" spans="1:26">
      <c r="A92" s="27"/>
      <c r="B92" s="102"/>
      <c r="C92" s="105" t="s">
        <v>96</v>
      </c>
      <c r="D92" s="106"/>
      <c r="E92" s="22" t="s">
        <v>32</v>
      </c>
      <c r="F92" s="22"/>
      <c r="G92" s="8">
        <v>1</v>
      </c>
      <c r="H92" s="8">
        <v>1</v>
      </c>
      <c r="I92" s="8">
        <v>1</v>
      </c>
      <c r="J92" s="8">
        <v>1</v>
      </c>
      <c r="K92" s="8">
        <v>1</v>
      </c>
      <c r="L92" s="8">
        <v>1</v>
      </c>
      <c r="M92" s="8">
        <v>1</v>
      </c>
      <c r="N92" s="8">
        <v>1</v>
      </c>
      <c r="O92" s="8">
        <v>1</v>
      </c>
      <c r="P92" s="8">
        <v>1</v>
      </c>
      <c r="Q92" s="8">
        <v>1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8">
        <v>1</v>
      </c>
      <c r="X92" s="8">
        <v>1</v>
      </c>
      <c r="Y92" s="47">
        <v>0</v>
      </c>
      <c r="Z92" s="8">
        <v>0</v>
      </c>
    </row>
    <row r="93" spans="1:26">
      <c r="A93" s="27"/>
      <c r="B93" s="102"/>
      <c r="C93" s="105" t="s">
        <v>97</v>
      </c>
      <c r="D93" s="106"/>
      <c r="E93" s="22" t="s">
        <v>32</v>
      </c>
      <c r="F93" s="22"/>
      <c r="G93" s="8">
        <v>1</v>
      </c>
      <c r="H93" s="8">
        <v>1</v>
      </c>
      <c r="I93" s="8">
        <v>1</v>
      </c>
      <c r="J93" s="8">
        <v>1</v>
      </c>
      <c r="K93" s="8">
        <v>1</v>
      </c>
      <c r="L93" s="8">
        <v>1</v>
      </c>
      <c r="M93" s="8">
        <v>1</v>
      </c>
      <c r="N93" s="8">
        <v>1</v>
      </c>
      <c r="O93" s="8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8">
        <v>1</v>
      </c>
      <c r="X93" s="8">
        <v>1</v>
      </c>
      <c r="Y93" s="47">
        <v>0</v>
      </c>
      <c r="Z93" s="8">
        <v>0</v>
      </c>
    </row>
    <row r="94" spans="1:26">
      <c r="A94" s="27"/>
      <c r="B94" s="102"/>
      <c r="C94" s="105" t="s">
        <v>98</v>
      </c>
      <c r="D94" s="106"/>
      <c r="E94" s="22" t="s">
        <v>32</v>
      </c>
      <c r="F94" s="22"/>
      <c r="G94" s="8">
        <v>1</v>
      </c>
      <c r="H94" s="8">
        <v>1</v>
      </c>
      <c r="I94" s="8">
        <v>1</v>
      </c>
      <c r="J94" s="8">
        <v>1</v>
      </c>
      <c r="K94" s="8">
        <v>1</v>
      </c>
      <c r="L94" s="8">
        <v>1</v>
      </c>
      <c r="M94" s="8">
        <v>1</v>
      </c>
      <c r="N94" s="8">
        <v>1</v>
      </c>
      <c r="O94" s="8">
        <v>1</v>
      </c>
      <c r="P94" s="8">
        <v>1</v>
      </c>
      <c r="Q94" s="8">
        <v>1</v>
      </c>
      <c r="R94" s="8">
        <v>1</v>
      </c>
      <c r="S94" s="8">
        <v>1</v>
      </c>
      <c r="T94" s="8">
        <v>1</v>
      </c>
      <c r="U94" s="8">
        <v>1</v>
      </c>
      <c r="V94" s="8">
        <v>1</v>
      </c>
      <c r="W94" s="8">
        <v>1</v>
      </c>
      <c r="X94" s="8">
        <v>1</v>
      </c>
      <c r="Y94" s="47">
        <v>0</v>
      </c>
      <c r="Z94" s="8">
        <v>0</v>
      </c>
    </row>
    <row r="95" spans="1:26">
      <c r="A95" s="27"/>
      <c r="B95" s="102"/>
      <c r="C95" s="105" t="s">
        <v>99</v>
      </c>
      <c r="D95" s="106"/>
      <c r="E95" s="22" t="s">
        <v>32</v>
      </c>
      <c r="F95" s="22"/>
      <c r="G95" s="8">
        <v>2</v>
      </c>
      <c r="H95" s="8">
        <v>2</v>
      </c>
      <c r="I95" s="8">
        <v>2</v>
      </c>
      <c r="J95" s="8">
        <v>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  <c r="Q95" s="8">
        <v>2</v>
      </c>
      <c r="R95" s="8">
        <v>2</v>
      </c>
      <c r="S95" s="8">
        <v>2</v>
      </c>
      <c r="T95" s="8">
        <v>2</v>
      </c>
      <c r="U95" s="8">
        <v>2</v>
      </c>
      <c r="V95" s="8">
        <v>2</v>
      </c>
      <c r="W95" s="8">
        <v>2</v>
      </c>
      <c r="X95" s="8">
        <v>2</v>
      </c>
      <c r="Y95" s="47">
        <v>0</v>
      </c>
      <c r="Z95" s="8">
        <v>0</v>
      </c>
    </row>
    <row r="96" spans="1:26">
      <c r="A96" s="27"/>
      <c r="B96" s="102"/>
      <c r="C96" s="105" t="s">
        <v>100</v>
      </c>
      <c r="D96" s="106"/>
      <c r="E96" s="22" t="s">
        <v>101</v>
      </c>
      <c r="F96" s="22"/>
      <c r="G96" s="8">
        <v>2</v>
      </c>
      <c r="H96" s="8">
        <v>1</v>
      </c>
      <c r="I96" s="8">
        <v>1</v>
      </c>
      <c r="J96" s="8">
        <v>1</v>
      </c>
      <c r="K96" s="8">
        <v>1</v>
      </c>
      <c r="L96" s="8">
        <v>1</v>
      </c>
      <c r="M96" s="8">
        <v>1</v>
      </c>
      <c r="N96" s="8">
        <v>1</v>
      </c>
      <c r="O96" s="8">
        <v>1</v>
      </c>
      <c r="P96" s="8">
        <v>1</v>
      </c>
      <c r="Q96" s="8">
        <v>1</v>
      </c>
      <c r="R96" s="8">
        <v>1</v>
      </c>
      <c r="S96" s="8">
        <v>1</v>
      </c>
      <c r="T96" s="8">
        <v>1</v>
      </c>
      <c r="U96" s="8">
        <v>1</v>
      </c>
      <c r="V96" s="8">
        <v>1</v>
      </c>
      <c r="W96" s="8">
        <v>1</v>
      </c>
      <c r="X96" s="8">
        <v>1</v>
      </c>
      <c r="Y96" s="47">
        <v>0</v>
      </c>
      <c r="Z96" s="8">
        <v>0</v>
      </c>
    </row>
    <row r="97" spans="1:26">
      <c r="A97" s="27"/>
      <c r="B97" s="102"/>
      <c r="C97" s="32"/>
      <c r="D97" s="31"/>
      <c r="E97" s="30"/>
      <c r="F97" s="31"/>
      <c r="G97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79">
        <v>1</v>
      </c>
      <c r="Z97" s="8"/>
    </row>
    <row r="98" spans="1:26">
      <c r="A98" s="27"/>
      <c r="B98" s="102" t="s">
        <v>102</v>
      </c>
      <c r="C98" s="28" t="s">
        <v>103</v>
      </c>
      <c r="D98" s="29"/>
      <c r="E98" s="30" t="s">
        <v>29</v>
      </c>
      <c r="F98" s="31"/>
      <c r="G98" s="8">
        <v>1</v>
      </c>
      <c r="H98" s="8">
        <v>1</v>
      </c>
      <c r="I98" s="8">
        <v>1</v>
      </c>
      <c r="J98" s="8">
        <v>1</v>
      </c>
      <c r="K98" s="8">
        <v>1</v>
      </c>
      <c r="L98" s="8">
        <v>1</v>
      </c>
      <c r="M98" s="8">
        <v>1</v>
      </c>
      <c r="N98" s="8">
        <v>1</v>
      </c>
      <c r="O98" s="8">
        <v>1</v>
      </c>
      <c r="P98" s="8">
        <v>1</v>
      </c>
      <c r="Q98" s="8">
        <v>1</v>
      </c>
      <c r="R98" s="8">
        <v>1</v>
      </c>
      <c r="S98" s="8">
        <v>1</v>
      </c>
      <c r="T98" s="8">
        <v>1</v>
      </c>
      <c r="U98" s="8">
        <v>1</v>
      </c>
      <c r="V98" s="8">
        <v>1</v>
      </c>
      <c r="W98" s="8">
        <v>1</v>
      </c>
      <c r="X98" s="8">
        <v>1</v>
      </c>
      <c r="Y98" s="47">
        <v>0</v>
      </c>
      <c r="Z98" s="8">
        <v>0</v>
      </c>
    </row>
    <row r="99" spans="1:26">
      <c r="A99" s="27"/>
      <c r="B99" s="102"/>
      <c r="C99" s="28" t="s">
        <v>104</v>
      </c>
      <c r="D99" s="29"/>
      <c r="E99" s="30" t="s">
        <v>29</v>
      </c>
      <c r="F99" s="31"/>
      <c r="G99" s="8">
        <v>1</v>
      </c>
      <c r="H99" s="8">
        <v>1</v>
      </c>
      <c r="I99" s="8">
        <v>1</v>
      </c>
      <c r="J99" s="8">
        <v>1</v>
      </c>
      <c r="K99" s="8">
        <v>1</v>
      </c>
      <c r="L99" s="8">
        <v>1</v>
      </c>
      <c r="M99" s="8">
        <v>1</v>
      </c>
      <c r="N99" s="8">
        <v>1</v>
      </c>
      <c r="O99" s="8">
        <v>1</v>
      </c>
      <c r="P99" s="8">
        <v>1</v>
      </c>
      <c r="Q99" s="8">
        <v>1</v>
      </c>
      <c r="R99" s="8">
        <v>1</v>
      </c>
      <c r="S99" s="8">
        <v>1</v>
      </c>
      <c r="T99" s="8">
        <v>1</v>
      </c>
      <c r="U99" s="8">
        <v>1</v>
      </c>
      <c r="V99" s="8">
        <v>1</v>
      </c>
      <c r="W99" s="8">
        <v>1</v>
      </c>
      <c r="X99" s="8">
        <v>1</v>
      </c>
      <c r="Y99" s="47">
        <v>0</v>
      </c>
      <c r="Z99" s="8">
        <v>0</v>
      </c>
    </row>
    <row r="100" spans="1:26">
      <c r="A100" s="27"/>
      <c r="B100" s="102"/>
      <c r="C100" s="28" t="s">
        <v>105</v>
      </c>
      <c r="D100" s="29"/>
      <c r="E100" s="30" t="s">
        <v>29</v>
      </c>
      <c r="F100" s="31"/>
      <c r="G100" s="8">
        <v>1</v>
      </c>
      <c r="H100" s="8">
        <v>1</v>
      </c>
      <c r="I100" s="8">
        <v>1</v>
      </c>
      <c r="J100" s="8">
        <v>1</v>
      </c>
      <c r="K100" s="8">
        <v>1</v>
      </c>
      <c r="L100" s="8">
        <v>1</v>
      </c>
      <c r="M100" s="8">
        <v>1</v>
      </c>
      <c r="N100" s="8">
        <v>1</v>
      </c>
      <c r="O100" s="8">
        <v>1</v>
      </c>
      <c r="P100" s="8">
        <v>1</v>
      </c>
      <c r="Q100" s="8">
        <v>1</v>
      </c>
      <c r="R100" s="8">
        <v>1</v>
      </c>
      <c r="S100" s="8">
        <v>1</v>
      </c>
      <c r="T100" s="8">
        <v>1</v>
      </c>
      <c r="U100" s="8">
        <v>1</v>
      </c>
      <c r="V100" s="8">
        <v>1</v>
      </c>
      <c r="W100" s="8">
        <v>1</v>
      </c>
      <c r="X100" s="8">
        <v>1</v>
      </c>
      <c r="Y100" s="47">
        <v>0</v>
      </c>
      <c r="Z100" s="8">
        <v>0</v>
      </c>
    </row>
    <row r="101" spans="1:26">
      <c r="A101" s="27"/>
      <c r="B101" s="102"/>
      <c r="C101" s="28" t="s">
        <v>106</v>
      </c>
      <c r="D101" s="29"/>
      <c r="E101" s="30" t="s">
        <v>29</v>
      </c>
      <c r="F101" s="31"/>
      <c r="G101" s="8">
        <v>1</v>
      </c>
      <c r="H101" s="8">
        <v>1</v>
      </c>
      <c r="I101" s="8">
        <v>1</v>
      </c>
      <c r="J101" s="8">
        <v>1</v>
      </c>
      <c r="K101" s="8">
        <v>1</v>
      </c>
      <c r="L101" s="8">
        <v>1</v>
      </c>
      <c r="M101" s="8">
        <v>1</v>
      </c>
      <c r="N101" s="8">
        <v>1</v>
      </c>
      <c r="O101" s="8">
        <v>1</v>
      </c>
      <c r="P101" s="8">
        <v>1</v>
      </c>
      <c r="Q101" s="8">
        <v>1</v>
      </c>
      <c r="R101" s="8">
        <v>1</v>
      </c>
      <c r="S101" s="8">
        <v>1</v>
      </c>
      <c r="T101" s="8">
        <v>1</v>
      </c>
      <c r="U101" s="8">
        <v>1</v>
      </c>
      <c r="V101" s="8">
        <v>1</v>
      </c>
      <c r="W101" s="8">
        <v>1</v>
      </c>
      <c r="X101" s="8">
        <v>1</v>
      </c>
      <c r="Y101" s="47">
        <v>0</v>
      </c>
      <c r="Z101" s="8">
        <v>0</v>
      </c>
    </row>
    <row r="102" spans="1:26">
      <c r="A102" s="27"/>
      <c r="B102" s="102"/>
      <c r="C102" s="44" t="s">
        <v>107</v>
      </c>
      <c r="D102" s="29"/>
      <c r="E102" s="30" t="s">
        <v>29</v>
      </c>
      <c r="F102" s="31"/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8">
        <v>1</v>
      </c>
      <c r="M102" s="8">
        <v>1</v>
      </c>
      <c r="N102" s="8">
        <v>1</v>
      </c>
      <c r="O102" s="8">
        <v>1</v>
      </c>
      <c r="P102" s="8">
        <v>1</v>
      </c>
      <c r="Q102" s="8">
        <v>1</v>
      </c>
      <c r="R102" s="8">
        <v>1</v>
      </c>
      <c r="S102" s="8">
        <v>1</v>
      </c>
      <c r="T102" s="8">
        <v>1</v>
      </c>
      <c r="U102" s="8">
        <v>1</v>
      </c>
      <c r="V102" s="8">
        <v>1</v>
      </c>
      <c r="W102" s="8">
        <v>1</v>
      </c>
      <c r="X102" s="8">
        <v>1</v>
      </c>
      <c r="Y102" s="47">
        <v>0</v>
      </c>
      <c r="Z102" s="8">
        <v>0</v>
      </c>
    </row>
    <row r="103" spans="1:26">
      <c r="A103" s="27"/>
      <c r="B103" s="102"/>
      <c r="C103" s="28" t="s">
        <v>108</v>
      </c>
      <c r="D103" s="29"/>
      <c r="E103" s="30" t="s">
        <v>29</v>
      </c>
      <c r="F103" s="31"/>
      <c r="G103" s="8">
        <v>1</v>
      </c>
      <c r="H103" s="8">
        <v>1</v>
      </c>
      <c r="I103" s="8">
        <v>1</v>
      </c>
      <c r="J103" s="8">
        <v>1</v>
      </c>
      <c r="K103" s="8">
        <v>1</v>
      </c>
      <c r="L103" s="8">
        <v>1</v>
      </c>
      <c r="M103" s="8">
        <v>1</v>
      </c>
      <c r="N103" s="8">
        <v>1</v>
      </c>
      <c r="O103" s="8">
        <v>1</v>
      </c>
      <c r="P103" s="8">
        <v>1</v>
      </c>
      <c r="Q103" s="8">
        <v>1</v>
      </c>
      <c r="R103" s="8">
        <v>1</v>
      </c>
      <c r="S103" s="8">
        <v>1</v>
      </c>
      <c r="T103" s="8">
        <v>1</v>
      </c>
      <c r="U103" s="8">
        <v>1</v>
      </c>
      <c r="V103" s="8">
        <v>1</v>
      </c>
      <c r="W103" s="8">
        <v>1</v>
      </c>
      <c r="X103" s="8">
        <v>1</v>
      </c>
      <c r="Y103" s="47">
        <v>0</v>
      </c>
      <c r="Z103" s="8">
        <v>0</v>
      </c>
    </row>
    <row r="104" spans="1:26">
      <c r="A104" s="27"/>
      <c r="B104" s="102"/>
      <c r="C104" s="28" t="s">
        <v>109</v>
      </c>
      <c r="D104" s="29"/>
      <c r="E104" s="30" t="s">
        <v>29</v>
      </c>
      <c r="F104" s="31"/>
      <c r="G104" s="8">
        <v>1</v>
      </c>
      <c r="H104" s="8">
        <v>1</v>
      </c>
      <c r="I104" s="8">
        <v>1</v>
      </c>
      <c r="J104" s="8">
        <v>1</v>
      </c>
      <c r="K104" s="8">
        <v>1</v>
      </c>
      <c r="L104" s="8">
        <v>1</v>
      </c>
      <c r="M104" s="8">
        <v>1</v>
      </c>
      <c r="N104" s="8">
        <v>1</v>
      </c>
      <c r="O104" s="8">
        <v>1</v>
      </c>
      <c r="P104" s="8">
        <v>1</v>
      </c>
      <c r="Q104" s="8">
        <v>1</v>
      </c>
      <c r="R104" s="8">
        <v>1</v>
      </c>
      <c r="S104" s="8">
        <v>1</v>
      </c>
      <c r="T104" s="8">
        <v>1</v>
      </c>
      <c r="U104" s="8">
        <v>1</v>
      </c>
      <c r="V104" s="8">
        <v>1</v>
      </c>
      <c r="W104" s="8">
        <v>1</v>
      </c>
      <c r="X104" s="8">
        <v>1</v>
      </c>
      <c r="Y104" s="47">
        <v>0</v>
      </c>
      <c r="Z104" s="8">
        <v>0</v>
      </c>
    </row>
    <row r="105" spans="1:26">
      <c r="A105" s="27"/>
      <c r="B105" s="102"/>
      <c r="C105" s="28" t="s">
        <v>110</v>
      </c>
      <c r="D105" s="29"/>
      <c r="E105" s="30" t="s">
        <v>29</v>
      </c>
      <c r="F105" s="31"/>
      <c r="G105" s="8">
        <v>1</v>
      </c>
      <c r="H105" s="8">
        <v>1</v>
      </c>
      <c r="I105" s="8">
        <v>1</v>
      </c>
      <c r="J105" s="8">
        <v>1</v>
      </c>
      <c r="K105" s="8">
        <v>1</v>
      </c>
      <c r="L105" s="8">
        <v>1</v>
      </c>
      <c r="M105" s="8">
        <v>1</v>
      </c>
      <c r="N105" s="8">
        <v>1</v>
      </c>
      <c r="O105" s="8">
        <v>1</v>
      </c>
      <c r="P105" s="8">
        <v>1</v>
      </c>
      <c r="Q105" s="8">
        <v>1</v>
      </c>
      <c r="R105" s="8">
        <v>1</v>
      </c>
      <c r="S105" s="8">
        <v>1</v>
      </c>
      <c r="T105" s="8">
        <v>1</v>
      </c>
      <c r="U105" s="8">
        <v>1</v>
      </c>
      <c r="V105" s="8">
        <v>1</v>
      </c>
      <c r="W105" s="8">
        <v>1</v>
      </c>
      <c r="X105" s="8">
        <v>1</v>
      </c>
      <c r="Y105" s="47">
        <v>0</v>
      </c>
      <c r="Z105" s="8">
        <v>0</v>
      </c>
    </row>
    <row r="106" spans="1:26">
      <c r="A106" s="27"/>
      <c r="B106" s="102"/>
      <c r="C106" s="28" t="s">
        <v>111</v>
      </c>
      <c r="D106" s="29"/>
      <c r="E106" s="30" t="s">
        <v>29</v>
      </c>
      <c r="F106" s="31"/>
      <c r="G106" s="8">
        <v>2</v>
      </c>
      <c r="H106" s="8">
        <v>2</v>
      </c>
      <c r="I106" s="8">
        <v>2</v>
      </c>
      <c r="J106" s="8">
        <v>2</v>
      </c>
      <c r="K106" s="8">
        <v>2</v>
      </c>
      <c r="L106" s="8">
        <v>2</v>
      </c>
      <c r="M106" s="8">
        <v>2</v>
      </c>
      <c r="N106" s="8">
        <v>2</v>
      </c>
      <c r="O106" s="8">
        <v>2</v>
      </c>
      <c r="P106" s="8">
        <v>2</v>
      </c>
      <c r="Q106" s="8">
        <v>2</v>
      </c>
      <c r="R106" s="8">
        <v>2</v>
      </c>
      <c r="S106" s="8">
        <v>2</v>
      </c>
      <c r="T106" s="8">
        <v>2</v>
      </c>
      <c r="U106" s="8">
        <v>2</v>
      </c>
      <c r="V106" s="8">
        <v>2</v>
      </c>
      <c r="W106" s="8">
        <v>2</v>
      </c>
      <c r="X106" s="8">
        <v>2</v>
      </c>
      <c r="Y106" s="47">
        <v>0</v>
      </c>
      <c r="Z106" s="8">
        <v>0</v>
      </c>
    </row>
    <row r="107" spans="1:26">
      <c r="A107" s="27"/>
      <c r="B107" s="102"/>
      <c r="C107" s="28" t="s">
        <v>112</v>
      </c>
      <c r="D107" s="29"/>
      <c r="E107" s="30" t="s">
        <v>29</v>
      </c>
      <c r="F107" s="31"/>
      <c r="G107" s="8">
        <v>2</v>
      </c>
      <c r="H107" s="8">
        <v>2</v>
      </c>
      <c r="I107" s="8">
        <v>2</v>
      </c>
      <c r="J107" s="8">
        <v>2</v>
      </c>
      <c r="K107" s="8">
        <v>2</v>
      </c>
      <c r="L107" s="8">
        <v>2</v>
      </c>
      <c r="M107" s="8">
        <v>2</v>
      </c>
      <c r="N107" s="8">
        <v>2</v>
      </c>
      <c r="O107" s="8">
        <v>2</v>
      </c>
      <c r="P107" s="8">
        <v>2</v>
      </c>
      <c r="Q107" s="8">
        <v>2</v>
      </c>
      <c r="R107" s="8">
        <v>2</v>
      </c>
      <c r="S107" s="8">
        <v>2</v>
      </c>
      <c r="T107" s="8">
        <v>2</v>
      </c>
      <c r="U107" s="8">
        <v>2</v>
      </c>
      <c r="V107" s="8">
        <v>2</v>
      </c>
      <c r="W107" s="8">
        <v>2</v>
      </c>
      <c r="X107" s="8">
        <v>2</v>
      </c>
      <c r="Y107" s="8">
        <v>2</v>
      </c>
      <c r="Z107" s="47">
        <v>0</v>
      </c>
    </row>
    <row r="108" spans="1:26">
      <c r="A108" s="27"/>
      <c r="B108" s="102" t="s">
        <v>113</v>
      </c>
      <c r="C108" s="105" t="s">
        <v>114</v>
      </c>
      <c r="D108" s="106"/>
      <c r="E108" s="107" t="s">
        <v>25</v>
      </c>
      <c r="F108" s="108"/>
      <c r="G108" s="8">
        <v>4</v>
      </c>
      <c r="H108" s="8">
        <v>4</v>
      </c>
      <c r="I108" s="8">
        <v>4</v>
      </c>
      <c r="J108" s="8">
        <v>4</v>
      </c>
      <c r="K108" s="8">
        <v>4</v>
      </c>
      <c r="L108" s="8">
        <v>4</v>
      </c>
      <c r="M108" s="8">
        <v>4</v>
      </c>
      <c r="N108" s="8">
        <v>4</v>
      </c>
      <c r="O108" s="8">
        <v>4</v>
      </c>
      <c r="P108" s="8">
        <v>4</v>
      </c>
      <c r="Q108" s="8">
        <v>4</v>
      </c>
      <c r="R108" s="8">
        <v>4</v>
      </c>
      <c r="S108" s="8">
        <v>4</v>
      </c>
      <c r="T108" s="8">
        <v>4</v>
      </c>
      <c r="U108" s="8">
        <v>4</v>
      </c>
      <c r="V108" s="8">
        <v>4</v>
      </c>
      <c r="W108" s="8">
        <v>4</v>
      </c>
      <c r="X108" s="8">
        <v>4</v>
      </c>
      <c r="Y108" s="8">
        <v>4</v>
      </c>
      <c r="Z108" s="47">
        <v>0</v>
      </c>
    </row>
    <row r="109" spans="1:26">
      <c r="A109" s="27"/>
      <c r="B109" s="102"/>
      <c r="C109" s="105" t="s">
        <v>115</v>
      </c>
      <c r="D109" s="106"/>
      <c r="E109" s="107" t="s">
        <v>25</v>
      </c>
      <c r="F109" s="108"/>
      <c r="G109" s="8">
        <v>4</v>
      </c>
      <c r="H109" s="8">
        <v>4</v>
      </c>
      <c r="I109" s="8">
        <v>4</v>
      </c>
      <c r="J109" s="8">
        <v>4</v>
      </c>
      <c r="K109" s="8">
        <v>4</v>
      </c>
      <c r="L109" s="8">
        <v>4</v>
      </c>
      <c r="M109" s="8">
        <v>4</v>
      </c>
      <c r="N109" s="8">
        <v>4</v>
      </c>
      <c r="O109" s="8">
        <v>4</v>
      </c>
      <c r="P109" s="8">
        <v>4</v>
      </c>
      <c r="Q109" s="8">
        <v>4</v>
      </c>
      <c r="R109" s="8">
        <v>4</v>
      </c>
      <c r="S109" s="8">
        <v>4</v>
      </c>
      <c r="T109" s="8">
        <v>4</v>
      </c>
      <c r="U109" s="8">
        <v>4</v>
      </c>
      <c r="V109" s="8">
        <v>4</v>
      </c>
      <c r="W109" s="8">
        <v>4</v>
      </c>
      <c r="X109" s="8">
        <v>4</v>
      </c>
      <c r="Y109" s="8">
        <v>4</v>
      </c>
      <c r="Z109" s="47">
        <v>0</v>
      </c>
    </row>
    <row r="110" spans="1:26">
      <c r="A110" s="27"/>
      <c r="B110" s="62" t="s">
        <v>19</v>
      </c>
      <c r="C110" s="62"/>
      <c r="D110" s="63"/>
      <c r="E110" s="64" t="s">
        <v>12</v>
      </c>
      <c r="F110" s="65"/>
      <c r="G110" s="64">
        <f>SUM(G16:G109)</f>
        <v>147</v>
      </c>
      <c r="H110" s="65"/>
      <c r="I110" s="8">
        <f>SUM(I16:I109)</f>
        <v>161</v>
      </c>
      <c r="J110" s="8">
        <f>SUM(J16:J109)</f>
        <v>150</v>
      </c>
      <c r="K110" s="8">
        <f>SUM(K16:K109)-K18</f>
        <v>147</v>
      </c>
      <c r="L110" s="8">
        <f>SUM(L16:L109)</f>
        <v>143</v>
      </c>
      <c r="M110" s="8">
        <f>SUM(M16:M109)</f>
        <v>140</v>
      </c>
      <c r="N110" s="8">
        <f>SUM(N16:N109)+N24</f>
        <v>136</v>
      </c>
      <c r="O110" s="8">
        <f>SUM(O16:O109)-O30-O32</f>
        <v>126</v>
      </c>
      <c r="P110" s="8">
        <f>SUM(P16:P109)-P34</f>
        <v>121</v>
      </c>
      <c r="Q110" s="8">
        <f>SUM(Q16:Q109)</f>
        <v>105</v>
      </c>
      <c r="R110" s="8">
        <f>SUM(R16:R109)-R46</f>
        <v>100</v>
      </c>
      <c r="S110" s="8">
        <f>SUM(S16:S109)-S49</f>
        <v>87</v>
      </c>
      <c r="T110" s="8">
        <f>SUM(T16:T109)-T58+T60</f>
        <v>74</v>
      </c>
      <c r="U110" s="8">
        <f>SUM(U16:U109)-U65</f>
        <v>64</v>
      </c>
      <c r="V110" s="8">
        <f>SUM(V16:V109)</f>
        <v>54</v>
      </c>
      <c r="W110" s="8">
        <f>SUM(W16:W109)-W71-W75+W73</f>
        <v>45</v>
      </c>
      <c r="X110" s="8">
        <f>SUM(X16:X109)-X77</f>
        <v>31</v>
      </c>
      <c r="Y110" s="8">
        <f>SUM(Y16:Y109)+Y97</f>
        <v>12</v>
      </c>
      <c r="Z110" s="8">
        <f>SUM(Z16:Z109)-Z69</f>
        <v>0</v>
      </c>
    </row>
    <row r="111" spans="1:26">
      <c r="A111" s="27"/>
      <c r="B111" s="66"/>
      <c r="C111" s="66"/>
      <c r="D111" s="67"/>
      <c r="E111" s="64" t="s">
        <v>13</v>
      </c>
      <c r="F111" s="65"/>
      <c r="G111" s="64">
        <f>SUM(H16:H109)</f>
        <v>161</v>
      </c>
      <c r="H111" s="65"/>
      <c r="I111" s="8">
        <f>SUM(I16:I109)</f>
        <v>161</v>
      </c>
      <c r="J111" s="8">
        <f>SUM(J16:J109)+K18</f>
        <v>151</v>
      </c>
      <c r="K111" s="8">
        <f>SUM(K16:K109)-K18</f>
        <v>147</v>
      </c>
      <c r="L111" s="8">
        <f>SUM(L16:L109)</f>
        <v>143</v>
      </c>
      <c r="M111" s="8">
        <f>SUM(M16:M109)-N24</f>
        <v>139</v>
      </c>
      <c r="N111" s="8">
        <f>SUM(N16:N109)+N24+O30+O32</f>
        <v>138</v>
      </c>
      <c r="O111" s="8">
        <f>SUM(O16:O109)+P34-O30-O32</f>
        <v>131</v>
      </c>
      <c r="P111" s="8">
        <f>SUM(P16:P109)-P34</f>
        <v>121</v>
      </c>
      <c r="Q111" s="8">
        <f>SUM(Q16:Q109)+R46</f>
        <v>109</v>
      </c>
      <c r="R111" s="8">
        <f>SUM(R16:R109)+S49-R46</f>
        <v>101</v>
      </c>
      <c r="S111" s="8">
        <f>SUM(S16:S109)+T58-S49-T60</f>
        <v>88</v>
      </c>
      <c r="T111" s="8">
        <f>SUM(T16:T109)-T58+T60+U65</f>
        <v>75</v>
      </c>
      <c r="U111" s="8">
        <f>SUM(U16:U109)-U65</f>
        <v>64</v>
      </c>
      <c r="V111" s="8">
        <f>SUM(V16:V109)+W71+W75-W73</f>
        <v>55</v>
      </c>
      <c r="W111" s="8">
        <f>SUM(W16:W109)-W71-W75+W73+X77</f>
        <v>46</v>
      </c>
      <c r="X111" s="8">
        <f>SUM(X16:X109)-X77-Y97</f>
        <v>30</v>
      </c>
      <c r="Y111" s="8">
        <f>SUM(Y16:Y109)+Y97</f>
        <v>12</v>
      </c>
      <c r="Z111" s="8">
        <f>SUM(Z16:Z109)-Z69</f>
        <v>0</v>
      </c>
    </row>
  </sheetData>
  <mergeCells count="212">
    <mergeCell ref="A1:B1"/>
    <mergeCell ref="A2:B2"/>
    <mergeCell ref="F2:G2"/>
    <mergeCell ref="A3:B3"/>
    <mergeCell ref="F3:G3"/>
    <mergeCell ref="A4:B4"/>
    <mergeCell ref="F4:G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E110:F110"/>
    <mergeCell ref="G110:H110"/>
    <mergeCell ref="E111:F111"/>
    <mergeCell ref="G111:H111"/>
    <mergeCell ref="A16:A111"/>
    <mergeCell ref="B20:B34"/>
    <mergeCell ref="B35:B46"/>
    <mergeCell ref="B47:B75"/>
    <mergeCell ref="B76:B86"/>
    <mergeCell ref="B87:B97"/>
    <mergeCell ref="B98:B107"/>
    <mergeCell ref="B108:B109"/>
    <mergeCell ref="B110:D111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BG123"/>
  <sheetViews>
    <sheetView zoomScale="115" zoomScaleNormal="115" topLeftCell="A41" workbookViewId="0">
      <selection activeCell="E65" sqref="E65:F65"/>
    </sheetView>
  </sheetViews>
  <sheetFormatPr defaultColWidth="9" defaultRowHeight="15"/>
  <cols>
    <col min="1" max="1" width="13.4380952380952" customWidth="1"/>
    <col min="2" max="2" width="21.1047619047619" customWidth="1"/>
    <col min="3" max="3" width="55.8857142857143" customWidth="1"/>
    <col min="4" max="4" width="12" customWidth="1"/>
    <col min="5" max="5" width="10.3333333333333" customWidth="1"/>
    <col min="6" max="6" width="20.1047619047619" customWidth="1"/>
    <col min="7" max="8" width="6.1047619047619" customWidth="1"/>
    <col min="9" max="19" width="6" customWidth="1"/>
    <col min="20" max="20" width="6.1047619047619" customWidth="1"/>
    <col min="21" max="28" width="6" customWidth="1"/>
    <col min="29" max="29" width="6.1047619047619" customWidth="1"/>
  </cols>
  <sheetData>
    <row r="1" ht="31.2" customHeight="1" spans="1:26">
      <c r="A1" s="10" t="s">
        <v>0</v>
      </c>
      <c r="B1" s="10"/>
      <c r="C1" s="11" t="s">
        <v>1</v>
      </c>
      <c r="D1" s="9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7.25" spans="1:26">
      <c r="A2" s="13" t="s">
        <v>2</v>
      </c>
      <c r="B2" s="13"/>
      <c r="C2" s="8" t="s">
        <v>116</v>
      </c>
      <c r="D2" s="9"/>
      <c r="E2" s="14"/>
      <c r="F2" s="15" t="s">
        <v>4</v>
      </c>
      <c r="G2" s="15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7.25" spans="1:26">
      <c r="A3" s="13" t="s">
        <v>5</v>
      </c>
      <c r="B3" s="13"/>
      <c r="C3" s="16">
        <v>46117</v>
      </c>
      <c r="D3" s="9"/>
      <c r="E3" s="17"/>
      <c r="F3" s="68" t="s">
        <v>6</v>
      </c>
      <c r="G3" s="6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8" customHeight="1" spans="1:26">
      <c r="A4" s="13" t="s">
        <v>7</v>
      </c>
      <c r="B4" s="13"/>
      <c r="C4" s="16">
        <v>46134</v>
      </c>
      <c r="D4" s="9"/>
      <c r="E4" s="19"/>
      <c r="F4" s="68" t="s">
        <v>8</v>
      </c>
      <c r="G4" s="6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8" customHeight="1" spans="1:26">
      <c r="A5" s="9"/>
      <c r="B5" s="9"/>
      <c r="C5" s="9"/>
      <c r="D5" s="9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7.25" spans="1:26">
      <c r="A6" s="9"/>
      <c r="B6" s="70" t="s">
        <v>117</v>
      </c>
      <c r="C6" s="70"/>
      <c r="D6" s="70"/>
      <c r="E6" s="70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7.25" spans="1:26">
      <c r="A7" s="9"/>
      <c r="B7" s="21" t="s">
        <v>10</v>
      </c>
      <c r="C7" s="21" t="s">
        <v>11</v>
      </c>
      <c r="D7" s="21" t="s">
        <v>12</v>
      </c>
      <c r="E7" s="21" t="s">
        <v>13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7.25" spans="1:26">
      <c r="A8" s="9"/>
      <c r="B8" s="22">
        <v>1</v>
      </c>
      <c r="C8" s="8" t="s">
        <v>14</v>
      </c>
      <c r="D8" s="8">
        <f ca="1">SUMIF($E$16:$F$97,"Phú",$G$16:$G$97)+SUMIF($E$16:$F$98,"All team",$G$16:$G$98)/5+SUMIF($E$16:$F$98,"Phú , Thảo",$G$16:$G$98)/2</f>
        <v>25.5</v>
      </c>
      <c r="E8" s="8">
        <f ca="1">SUMIF($E$16:$F$97,"Phú",$H$16:$H$97)+SUMIF($E$16:$F$97,"All team",$H$16:$H$97)/5+SUMIF($E$16:$F$97,"Phú , Thảo",$H$16:$H$97)/2</f>
        <v>28.5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7.25" spans="1:26">
      <c r="A9" s="9"/>
      <c r="B9" s="22">
        <v>2</v>
      </c>
      <c r="C9" s="8" t="s">
        <v>15</v>
      </c>
      <c r="D9" s="8">
        <f ca="1">SUMIF($E$16:$F$97,"Việt",$G$16:$G$97)+SUMIF($E$16:$F$98,"All team",$G$16:$G$98)/5+SUMIF($E$16:$F$98,"Việt , Nhật ",$G$16:$G$98)/2</f>
        <v>49</v>
      </c>
      <c r="E9" s="8">
        <f ca="1">SUMIF($E$16:$F$97,"Việt",$H$16:$H$97)+SUMIF($E$16:$F$97,"All team",$H$16:$H$97)/5+SUMIF($E$16:$F$97,"Việt , Nhật ",$H$16:$H$97)/2</f>
        <v>51.5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7.25" spans="1:26">
      <c r="A10" s="9"/>
      <c r="B10" s="22">
        <v>3</v>
      </c>
      <c r="C10" s="8" t="s">
        <v>16</v>
      </c>
      <c r="D10" s="8">
        <f ca="1">SUMIF($E$16:$F$98,"Vũ",$G$16:$G$98)+SUMIF($E$16:$F$98,"All team",$G$16:$G$98)/5</f>
        <v>27</v>
      </c>
      <c r="E10" s="8">
        <f ca="1">SUMIF($E$16:$F$98,"Vũ",$H$16:$H$98)+SUMIF($E$16:$F$98,"All team",$H$16:$H$98)/5</f>
        <v>26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7.25" spans="1:26">
      <c r="A11" s="9"/>
      <c r="B11" s="22">
        <v>4</v>
      </c>
      <c r="C11" s="8" t="s">
        <v>17</v>
      </c>
      <c r="D11" s="8">
        <f ca="1">SUMIF($E$16:$F$98,"Nhật",$G$16:$G$98)+SUMIF($E$16:$F$98,"All team",$G$16:$G$98)/5+SUMIF($E$16:$F$98,"Việt , Nhật ",$G$16:$G$98)/2</f>
        <v>39</v>
      </c>
      <c r="E11" s="8">
        <f ca="1">SUMIF($E$16:$F$98,"Nhật",$H$16:$H$98)+SUMIF($E$16:$F$98,"All team",$H$16:$H$98)/5+SUMIF($E$16:$F$98,"Việt , Nhật ",$H$16:$H$98)/2</f>
        <v>42.5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7.25" spans="1:26">
      <c r="A12" s="9"/>
      <c r="B12" s="22">
        <v>5</v>
      </c>
      <c r="C12" s="8" t="s">
        <v>18</v>
      </c>
      <c r="D12" s="8">
        <f ca="1">SUMIF($E$16:$F$97,"Thảo",$G$16:$G$97)+SUMIF($E$16:$F$98,"All team",$G$16:$G$98)/5+SUMIF($E$16:$F$98,"Phú , Thảo",$G$16:$G$98)/2</f>
        <v>29.5</v>
      </c>
      <c r="E12" s="8">
        <f ca="1">SUMIF($E$16:$F$98,"Thảo",$H$16:$H$98)+SUMIF($E$16:$F$98,"All team",$H$16:$H$98)/5+SUMIF($E$16:$F$98,"Phú , Thảo",$H$16:$H$98)/2</f>
        <v>31.5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7.25" spans="1:26">
      <c r="A13" s="9"/>
      <c r="B13" s="20" t="s">
        <v>19</v>
      </c>
      <c r="C13" s="20"/>
      <c r="D13" s="71">
        <f ca="1">SUM(D8:D12)</f>
        <v>170</v>
      </c>
      <c r="E13" s="71">
        <f ca="1">SUM(E8:E12)</f>
        <v>180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7.25" spans="1:26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63.75" customHeight="1" spans="1:59">
      <c r="A15" s="72" t="s">
        <v>20</v>
      </c>
      <c r="B15" s="72" t="s">
        <v>21</v>
      </c>
      <c r="C15" s="73" t="s">
        <v>22</v>
      </c>
      <c r="D15" s="73"/>
      <c r="E15" s="73" t="s">
        <v>23</v>
      </c>
      <c r="F15" s="73"/>
      <c r="G15" s="26" t="s">
        <v>12</v>
      </c>
      <c r="H15" s="26" t="s">
        <v>13</v>
      </c>
      <c r="I15" s="45">
        <v>46117</v>
      </c>
      <c r="J15" s="45">
        <v>46118</v>
      </c>
      <c r="K15" s="45">
        <v>46119</v>
      </c>
      <c r="L15" s="45">
        <v>46120</v>
      </c>
      <c r="M15" s="45">
        <v>46121</v>
      </c>
      <c r="N15" s="45">
        <v>46122</v>
      </c>
      <c r="O15" s="45">
        <v>46123</v>
      </c>
      <c r="P15" s="45">
        <v>46124</v>
      </c>
      <c r="Q15" s="45">
        <v>46125</v>
      </c>
      <c r="R15" s="45">
        <v>46126</v>
      </c>
      <c r="S15" s="45">
        <v>46127</v>
      </c>
      <c r="T15" s="45">
        <v>46128</v>
      </c>
      <c r="U15" s="45">
        <v>46129</v>
      </c>
      <c r="V15" s="45">
        <v>46130</v>
      </c>
      <c r="W15" s="45">
        <v>46131</v>
      </c>
      <c r="X15" s="45">
        <v>46132</v>
      </c>
      <c r="Y15" s="84">
        <v>46133</v>
      </c>
      <c r="Z15" s="45">
        <v>46134</v>
      </c>
      <c r="AA15" s="57"/>
      <c r="AB15" s="57"/>
      <c r="AC15" s="57"/>
      <c r="AD15" s="57"/>
      <c r="AE15" s="57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</row>
    <row r="16" ht="16.5" spans="1:30">
      <c r="A16" s="27" t="s">
        <v>116</v>
      </c>
      <c r="B16" s="74" t="s">
        <v>24</v>
      </c>
      <c r="C16" s="74"/>
      <c r="D16" s="74"/>
      <c r="E16" s="22" t="s">
        <v>25</v>
      </c>
      <c r="F16" s="22"/>
      <c r="G16" s="8">
        <v>10</v>
      </c>
      <c r="H16" s="8">
        <v>10</v>
      </c>
      <c r="I16" s="8">
        <v>10</v>
      </c>
      <c r="J16" s="47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9"/>
      <c r="AB16" s="9"/>
      <c r="AC16" s="9"/>
      <c r="AD16" s="9"/>
    </row>
    <row r="17" ht="16.5" spans="1:30">
      <c r="A17" s="27"/>
      <c r="B17" s="74" t="s">
        <v>118</v>
      </c>
      <c r="C17" s="74"/>
      <c r="D17" s="74"/>
      <c r="E17" s="22" t="s">
        <v>27</v>
      </c>
      <c r="F17" s="22"/>
      <c r="G17" s="8">
        <v>4</v>
      </c>
      <c r="H17" s="8">
        <v>4</v>
      </c>
      <c r="I17" s="8">
        <v>4</v>
      </c>
      <c r="J17" s="8">
        <v>4</v>
      </c>
      <c r="K17" s="47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9"/>
      <c r="AB17" s="9"/>
      <c r="AC17" s="9"/>
      <c r="AD17" s="9"/>
    </row>
    <row r="18" ht="16.5" spans="1:30">
      <c r="A18" s="27"/>
      <c r="B18" s="74" t="s">
        <v>28</v>
      </c>
      <c r="C18" s="74"/>
      <c r="D18" s="74"/>
      <c r="E18" s="22" t="s">
        <v>29</v>
      </c>
      <c r="F18" s="22"/>
      <c r="G18" s="8">
        <v>4</v>
      </c>
      <c r="H18" s="8">
        <v>4</v>
      </c>
      <c r="I18" s="8">
        <v>4</v>
      </c>
      <c r="J18" s="8">
        <v>4</v>
      </c>
      <c r="K18" s="47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9"/>
      <c r="AB18" s="9"/>
      <c r="AC18" s="9"/>
      <c r="AD18" s="9"/>
    </row>
    <row r="19" ht="17.25" customHeight="1" spans="1:30">
      <c r="A19" s="27"/>
      <c r="B19" s="27" t="s">
        <v>30</v>
      </c>
      <c r="C19" s="28" t="s">
        <v>119</v>
      </c>
      <c r="D19" s="29"/>
      <c r="E19" s="22" t="s">
        <v>29</v>
      </c>
      <c r="F19" s="22"/>
      <c r="G19" s="8">
        <v>2</v>
      </c>
      <c r="H19" s="8">
        <v>2</v>
      </c>
      <c r="I19" s="8">
        <v>2</v>
      </c>
      <c r="J19" s="8">
        <v>2</v>
      </c>
      <c r="K19" s="8">
        <v>2</v>
      </c>
      <c r="L19" s="47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9"/>
      <c r="AB19" s="9"/>
      <c r="AC19" s="9"/>
      <c r="AD19" s="9"/>
    </row>
    <row r="20" ht="16.5" spans="1:30">
      <c r="A20" s="27"/>
      <c r="B20" s="27"/>
      <c r="C20" s="28" t="s">
        <v>120</v>
      </c>
      <c r="D20" s="29"/>
      <c r="E20" s="22" t="s">
        <v>29</v>
      </c>
      <c r="F20" s="22"/>
      <c r="G20" s="8">
        <v>2</v>
      </c>
      <c r="H20" s="8">
        <v>1</v>
      </c>
      <c r="I20" s="8">
        <v>1</v>
      </c>
      <c r="J20" s="8">
        <v>1</v>
      </c>
      <c r="K20" s="8">
        <v>1</v>
      </c>
      <c r="L20" s="47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9"/>
      <c r="AB20" s="9"/>
      <c r="AC20" s="9"/>
      <c r="AD20" s="9"/>
    </row>
    <row r="21" ht="16.5" spans="1:30">
      <c r="A21" s="27"/>
      <c r="B21" s="27"/>
      <c r="C21" s="28"/>
      <c r="D21" s="29"/>
      <c r="E21" s="22"/>
      <c r="F21" s="22"/>
      <c r="G21" s="8"/>
      <c r="H21" s="8"/>
      <c r="I21" s="8"/>
      <c r="J21" s="8"/>
      <c r="K21" s="8"/>
      <c r="L21" s="79">
        <v>1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6"/>
      <c r="Z21" s="8"/>
      <c r="AA21" s="9"/>
      <c r="AB21" s="9"/>
      <c r="AC21" s="9"/>
      <c r="AD21" s="9"/>
    </row>
    <row r="22" ht="16.5" spans="1:30">
      <c r="A22" s="27"/>
      <c r="B22" s="27"/>
      <c r="C22" s="28" t="s">
        <v>121</v>
      </c>
      <c r="D22" s="29"/>
      <c r="E22" s="22" t="s">
        <v>29</v>
      </c>
      <c r="F22" s="22"/>
      <c r="G22" s="8">
        <v>2</v>
      </c>
      <c r="H22" s="8">
        <v>1</v>
      </c>
      <c r="I22" s="8">
        <v>1</v>
      </c>
      <c r="J22" s="8">
        <v>1</v>
      </c>
      <c r="K22" s="8">
        <v>1</v>
      </c>
      <c r="L22" s="47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9"/>
      <c r="AB22" s="9"/>
      <c r="AC22" s="9"/>
      <c r="AD22" s="9"/>
    </row>
    <row r="23" ht="17.25" spans="1:30">
      <c r="A23" s="27"/>
      <c r="B23" s="27"/>
      <c r="C23" s="75"/>
      <c r="D23" s="75"/>
      <c r="E23" s="22"/>
      <c r="F23" s="22"/>
      <c r="G23" s="8"/>
      <c r="H23" s="8"/>
      <c r="I23" s="8"/>
      <c r="J23" s="8"/>
      <c r="K23" s="8"/>
      <c r="L23" s="79">
        <v>1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6"/>
      <c r="Z23" s="8"/>
      <c r="AA23" s="9"/>
      <c r="AB23" s="9"/>
      <c r="AC23" s="9"/>
      <c r="AD23" s="9"/>
    </row>
    <row r="24" ht="16.5" spans="1:30">
      <c r="A24" s="27"/>
      <c r="B24" s="27"/>
      <c r="C24" s="28" t="s">
        <v>122</v>
      </c>
      <c r="D24" s="29"/>
      <c r="E24" s="22" t="s">
        <v>29</v>
      </c>
      <c r="F24" s="22"/>
      <c r="G24" s="8">
        <v>2</v>
      </c>
      <c r="H24" s="8">
        <v>2</v>
      </c>
      <c r="I24" s="8">
        <v>2</v>
      </c>
      <c r="J24" s="8">
        <v>2</v>
      </c>
      <c r="K24" s="8">
        <v>2</v>
      </c>
      <c r="L24" s="47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9"/>
      <c r="AB24" s="9"/>
      <c r="AC24" s="9"/>
      <c r="AD24" s="9"/>
    </row>
    <row r="25" ht="16.5" spans="1:30">
      <c r="A25" s="27"/>
      <c r="B25" s="27"/>
      <c r="C25" s="28" t="s">
        <v>123</v>
      </c>
      <c r="D25" s="29"/>
      <c r="E25" s="22" t="s">
        <v>29</v>
      </c>
      <c r="F25" s="22"/>
      <c r="G25" s="8">
        <v>2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  <c r="M25" s="47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9"/>
      <c r="AB25" s="9"/>
      <c r="AC25" s="9"/>
      <c r="AD25" s="9"/>
    </row>
    <row r="26" ht="16.5" spans="1:30">
      <c r="A26" s="27"/>
      <c r="B26" s="27"/>
      <c r="C26" s="28"/>
      <c r="D26" s="29"/>
      <c r="E26" s="22"/>
      <c r="F26" s="22"/>
      <c r="G26" s="8"/>
      <c r="H26" s="8"/>
      <c r="I26" s="8"/>
      <c r="J26" s="8"/>
      <c r="K26" s="8"/>
      <c r="L26" s="8"/>
      <c r="M26" s="79">
        <v>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6"/>
      <c r="Z26" s="8"/>
      <c r="AA26" s="9"/>
      <c r="AB26" s="9"/>
      <c r="AC26" s="9"/>
      <c r="AD26" s="9"/>
    </row>
    <row r="27" ht="16.5" spans="1:30">
      <c r="A27" s="27"/>
      <c r="B27" s="27"/>
      <c r="C27" s="28" t="s">
        <v>124</v>
      </c>
      <c r="D27" s="29"/>
      <c r="E27" s="22" t="s">
        <v>29</v>
      </c>
      <c r="F27" s="22"/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  <c r="M27" s="47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9"/>
      <c r="AB27" s="9"/>
      <c r="AC27" s="9"/>
      <c r="AD27" s="9"/>
    </row>
    <row r="28" ht="16.5" spans="1:30">
      <c r="A28" s="27"/>
      <c r="B28" s="27"/>
      <c r="C28" s="28" t="s">
        <v>125</v>
      </c>
      <c r="D28" s="29"/>
      <c r="E28" s="22" t="s">
        <v>29</v>
      </c>
      <c r="F28" s="22"/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  <c r="M28" s="47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9"/>
      <c r="AB28" s="9"/>
      <c r="AC28" s="9"/>
      <c r="AD28" s="9"/>
    </row>
    <row r="29" ht="16.5" spans="1:30">
      <c r="A29" s="27"/>
      <c r="B29" s="27"/>
      <c r="C29" s="28" t="s">
        <v>126</v>
      </c>
      <c r="D29" s="29"/>
      <c r="E29" s="22" t="s">
        <v>29</v>
      </c>
      <c r="F29" s="22"/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8">
        <v>1</v>
      </c>
      <c r="M29" s="47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C29" s="9"/>
      <c r="AD29" s="9"/>
    </row>
    <row r="30" ht="16.5" spans="1:30">
      <c r="A30" s="27"/>
      <c r="B30" s="27"/>
      <c r="C30" s="28" t="s">
        <v>127</v>
      </c>
      <c r="D30" s="29"/>
      <c r="E30" s="22" t="s">
        <v>29</v>
      </c>
      <c r="F30" s="22"/>
      <c r="G30" s="8">
        <v>2</v>
      </c>
      <c r="H30" s="8">
        <v>2</v>
      </c>
      <c r="I30" s="8">
        <v>2</v>
      </c>
      <c r="J30" s="8">
        <v>2</v>
      </c>
      <c r="K30" s="8">
        <v>2</v>
      </c>
      <c r="L30" s="8">
        <v>2</v>
      </c>
      <c r="M30" s="47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C30" s="9"/>
      <c r="AD30" s="9"/>
    </row>
    <row r="31" ht="17.25" spans="1:30">
      <c r="A31" s="27"/>
      <c r="B31" s="27"/>
      <c r="C31" s="28" t="s">
        <v>128</v>
      </c>
      <c r="D31" s="29"/>
      <c r="E31" s="22" t="s">
        <v>25</v>
      </c>
      <c r="F31" s="22"/>
      <c r="G31" s="8">
        <v>4</v>
      </c>
      <c r="H31" s="8">
        <v>10</v>
      </c>
      <c r="I31" s="8">
        <v>10</v>
      </c>
      <c r="J31" s="8">
        <v>10</v>
      </c>
      <c r="K31" s="8">
        <v>10</v>
      </c>
      <c r="L31" s="8">
        <v>10</v>
      </c>
      <c r="M31" s="8">
        <v>4</v>
      </c>
      <c r="N31" s="80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C31" s="9"/>
      <c r="AD31" s="9"/>
    </row>
    <row r="32" ht="16.5" spans="1:30">
      <c r="A32" s="27"/>
      <c r="B32" s="27"/>
      <c r="C32" s="28"/>
      <c r="D32" s="29"/>
      <c r="E32" s="22"/>
      <c r="F32" s="22"/>
      <c r="G32" s="8"/>
      <c r="H32" s="8"/>
      <c r="I32" s="8"/>
      <c r="J32" s="8"/>
      <c r="K32" s="8"/>
      <c r="L32" s="8"/>
      <c r="M32" s="8"/>
      <c r="N32" s="48">
        <f>(H31-G31)</f>
        <v>6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6"/>
      <c r="Z32" s="8"/>
      <c r="AC32" s="9"/>
      <c r="AD32" s="9"/>
    </row>
    <row r="33" ht="16.5" spans="1:30">
      <c r="A33" s="27"/>
      <c r="B33" s="27" t="s">
        <v>43</v>
      </c>
      <c r="C33" s="28" t="s">
        <v>129</v>
      </c>
      <c r="D33" s="29"/>
      <c r="E33" s="22" t="s">
        <v>130</v>
      </c>
      <c r="F33" s="22"/>
      <c r="G33" s="8">
        <v>1</v>
      </c>
      <c r="H33" s="8">
        <v>2</v>
      </c>
      <c r="I33" s="8">
        <v>2</v>
      </c>
      <c r="J33" s="8">
        <v>2</v>
      </c>
      <c r="K33" s="8">
        <v>2</v>
      </c>
      <c r="L33" s="8">
        <v>2</v>
      </c>
      <c r="M33" s="8">
        <v>2</v>
      </c>
      <c r="N33" s="8">
        <v>1</v>
      </c>
      <c r="O33" s="47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C33" s="9"/>
      <c r="AD33" s="9"/>
    </row>
    <row r="34" ht="17.25" spans="1:30">
      <c r="A34" s="27"/>
      <c r="B34" s="27"/>
      <c r="C34" s="28"/>
      <c r="D34" s="29"/>
      <c r="E34" s="22"/>
      <c r="F34" s="22"/>
      <c r="G34" s="8"/>
      <c r="H34" s="8"/>
      <c r="I34" s="8"/>
      <c r="J34" s="8"/>
      <c r="K34" s="8"/>
      <c r="L34" s="8"/>
      <c r="M34" s="8"/>
      <c r="N34" s="8"/>
      <c r="O34" s="81">
        <f>H33-G33</f>
        <v>1</v>
      </c>
      <c r="P34" s="8"/>
      <c r="Q34" s="8"/>
      <c r="R34" s="8"/>
      <c r="S34" s="8"/>
      <c r="T34" s="8"/>
      <c r="U34" s="8"/>
      <c r="V34" s="8"/>
      <c r="W34" s="8"/>
      <c r="X34" s="8"/>
      <c r="Y34" s="86"/>
      <c r="Z34" s="8"/>
      <c r="AA34" s="9"/>
      <c r="AB34" s="9"/>
      <c r="AC34" s="9"/>
      <c r="AD34" s="9"/>
    </row>
    <row r="35" ht="16.5" spans="1:30">
      <c r="A35" s="27"/>
      <c r="B35" s="27"/>
      <c r="C35" s="28" t="s">
        <v>131</v>
      </c>
      <c r="D35" s="29"/>
      <c r="E35" s="22" t="s">
        <v>132</v>
      </c>
      <c r="F35" s="22"/>
      <c r="G35" s="8">
        <v>2</v>
      </c>
      <c r="H35" s="8">
        <v>2</v>
      </c>
      <c r="I35" s="8">
        <v>2</v>
      </c>
      <c r="J35" s="8">
        <v>2</v>
      </c>
      <c r="K35" s="8">
        <v>2</v>
      </c>
      <c r="L35" s="8">
        <v>2</v>
      </c>
      <c r="M35" s="8">
        <v>2</v>
      </c>
      <c r="N35" s="8">
        <v>2</v>
      </c>
      <c r="O35" s="47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9"/>
      <c r="AB35" s="9"/>
      <c r="AC35" s="9"/>
      <c r="AD35" s="9"/>
    </row>
    <row r="36" ht="16.5" spans="1:30">
      <c r="A36" s="27"/>
      <c r="B36" s="27"/>
      <c r="C36" s="28" t="s">
        <v>133</v>
      </c>
      <c r="D36" s="29"/>
      <c r="E36" s="22" t="s">
        <v>130</v>
      </c>
      <c r="F36" s="22"/>
      <c r="G36" s="8">
        <v>2</v>
      </c>
      <c r="H36" s="8">
        <v>2</v>
      </c>
      <c r="I36" s="8">
        <v>2</v>
      </c>
      <c r="J36" s="8">
        <v>2</v>
      </c>
      <c r="K36" s="8">
        <v>2</v>
      </c>
      <c r="L36" s="8">
        <v>2</v>
      </c>
      <c r="M36" s="8">
        <v>2</v>
      </c>
      <c r="N36" s="8">
        <v>2</v>
      </c>
      <c r="O36" s="47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9"/>
      <c r="AB36" s="9"/>
      <c r="AC36" s="9"/>
      <c r="AD36" s="9"/>
    </row>
    <row r="37" ht="16.5" spans="1:30">
      <c r="A37" s="27"/>
      <c r="B37" s="27"/>
      <c r="C37" s="28" t="s">
        <v>134</v>
      </c>
      <c r="D37" s="29"/>
      <c r="E37" s="22" t="s">
        <v>27</v>
      </c>
      <c r="F37" s="22"/>
      <c r="G37" s="8">
        <v>2</v>
      </c>
      <c r="H37" s="8">
        <v>3</v>
      </c>
      <c r="I37" s="8">
        <v>3</v>
      </c>
      <c r="J37" s="8">
        <v>3</v>
      </c>
      <c r="K37" s="8">
        <v>3</v>
      </c>
      <c r="L37" s="8">
        <v>3</v>
      </c>
      <c r="M37" s="8">
        <v>3</v>
      </c>
      <c r="N37" s="8">
        <v>2</v>
      </c>
      <c r="O37" s="47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9"/>
      <c r="AB37" s="9"/>
      <c r="AC37" s="9"/>
      <c r="AD37" s="9"/>
    </row>
    <row r="38" ht="16.5" spans="1:30">
      <c r="A38" s="27"/>
      <c r="B38" s="27"/>
      <c r="C38" s="28"/>
      <c r="D38" s="29"/>
      <c r="E38" s="22"/>
      <c r="F38" s="22"/>
      <c r="G38" s="8"/>
      <c r="H38" s="8"/>
      <c r="I38" s="8"/>
      <c r="J38" s="8"/>
      <c r="K38" s="8"/>
      <c r="L38" s="8"/>
      <c r="M38" s="8"/>
      <c r="N38" s="8"/>
      <c r="O38" s="48">
        <v>1</v>
      </c>
      <c r="P38" s="8"/>
      <c r="Q38" s="8"/>
      <c r="R38" s="8"/>
      <c r="S38" s="8"/>
      <c r="T38" s="8"/>
      <c r="U38" s="8"/>
      <c r="V38" s="8"/>
      <c r="W38" s="8"/>
      <c r="X38" s="8"/>
      <c r="Y38" s="86"/>
      <c r="Z38" s="8"/>
      <c r="AA38" s="9"/>
      <c r="AB38" s="9"/>
      <c r="AC38" s="9"/>
      <c r="AD38" s="9"/>
    </row>
    <row r="39" ht="16.5" spans="1:30">
      <c r="A39" s="27"/>
      <c r="B39" s="27"/>
      <c r="C39" s="28" t="s">
        <v>135</v>
      </c>
      <c r="D39" s="29"/>
      <c r="E39" s="22" t="s">
        <v>130</v>
      </c>
      <c r="F39" s="22"/>
      <c r="G39" s="8">
        <v>1</v>
      </c>
      <c r="H39" s="8">
        <v>2</v>
      </c>
      <c r="I39" s="8">
        <v>2</v>
      </c>
      <c r="J39" s="8">
        <v>2</v>
      </c>
      <c r="K39" s="8">
        <v>2</v>
      </c>
      <c r="L39" s="8">
        <v>2</v>
      </c>
      <c r="M39" s="8">
        <v>2</v>
      </c>
      <c r="N39" s="8">
        <v>1</v>
      </c>
      <c r="O39" s="47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9"/>
      <c r="AB39" s="9"/>
      <c r="AC39" s="9"/>
      <c r="AD39" s="9"/>
    </row>
    <row r="40" ht="16.5" spans="1:30">
      <c r="A40" s="27"/>
      <c r="B40" s="27"/>
      <c r="C40" s="28"/>
      <c r="D40" s="29"/>
      <c r="E40" s="22"/>
      <c r="F40" s="22"/>
      <c r="G40" s="8"/>
      <c r="H40" s="8"/>
      <c r="I40" s="8"/>
      <c r="J40" s="8"/>
      <c r="K40" s="8"/>
      <c r="L40" s="8"/>
      <c r="M40" s="8"/>
      <c r="N40" s="8"/>
      <c r="O40" s="48">
        <v>1</v>
      </c>
      <c r="P40" s="8"/>
      <c r="Q40" s="8"/>
      <c r="R40" s="8"/>
      <c r="S40" s="8"/>
      <c r="T40" s="8"/>
      <c r="U40" s="8"/>
      <c r="V40" s="8"/>
      <c r="W40" s="8"/>
      <c r="X40" s="8"/>
      <c r="Y40" s="86"/>
      <c r="Z40" s="8"/>
      <c r="AA40" s="9"/>
      <c r="AB40" s="9"/>
      <c r="AC40" s="9"/>
      <c r="AD40" s="9"/>
    </row>
    <row r="41" ht="16.5" spans="1:30">
      <c r="A41" s="27"/>
      <c r="B41" s="27"/>
      <c r="C41" s="28" t="s">
        <v>136</v>
      </c>
      <c r="D41" s="29"/>
      <c r="E41" s="22" t="s">
        <v>132</v>
      </c>
      <c r="F41" s="22"/>
      <c r="G41" s="8">
        <v>2</v>
      </c>
      <c r="H41" s="8">
        <v>2</v>
      </c>
      <c r="I41" s="8">
        <v>2</v>
      </c>
      <c r="J41" s="8">
        <v>2</v>
      </c>
      <c r="K41" s="8">
        <v>2</v>
      </c>
      <c r="L41" s="8">
        <v>2</v>
      </c>
      <c r="M41" s="8">
        <v>2</v>
      </c>
      <c r="N41" s="8">
        <v>2</v>
      </c>
      <c r="O41" s="8">
        <v>2</v>
      </c>
      <c r="P41" s="47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9"/>
      <c r="AB41" s="9"/>
      <c r="AC41" s="9"/>
      <c r="AD41" s="9"/>
    </row>
    <row r="42" ht="16.5" spans="1:30">
      <c r="A42" s="27"/>
      <c r="B42" s="27"/>
      <c r="C42" s="28" t="s">
        <v>137</v>
      </c>
      <c r="D42" s="29"/>
      <c r="E42" s="22" t="s">
        <v>132</v>
      </c>
      <c r="F42" s="22"/>
      <c r="G42" s="8">
        <v>2</v>
      </c>
      <c r="H42" s="8">
        <v>2</v>
      </c>
      <c r="I42" s="8">
        <v>2</v>
      </c>
      <c r="J42" s="8">
        <v>2</v>
      </c>
      <c r="K42" s="8">
        <v>2</v>
      </c>
      <c r="L42" s="8">
        <v>2</v>
      </c>
      <c r="M42" s="8">
        <v>2</v>
      </c>
      <c r="N42" s="8">
        <v>2</v>
      </c>
      <c r="O42" s="8">
        <v>2</v>
      </c>
      <c r="P42" s="47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9"/>
      <c r="AB42" s="9"/>
      <c r="AC42" s="9"/>
      <c r="AD42" s="9"/>
    </row>
    <row r="43" ht="16.5" spans="1:30">
      <c r="A43" s="27"/>
      <c r="B43" s="27"/>
      <c r="C43" s="28" t="s">
        <v>138</v>
      </c>
      <c r="D43" s="29"/>
      <c r="E43" s="22" t="s">
        <v>132</v>
      </c>
      <c r="F43" s="22"/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  <c r="P43" s="47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9"/>
      <c r="AB43" s="9"/>
      <c r="AC43" s="9"/>
      <c r="AD43" s="9"/>
    </row>
    <row r="44" ht="16.5" spans="1:30">
      <c r="A44" s="27"/>
      <c r="B44" s="27"/>
      <c r="C44" s="28" t="s">
        <v>139</v>
      </c>
      <c r="D44" s="29"/>
      <c r="E44" s="22" t="s">
        <v>132</v>
      </c>
      <c r="F44" s="22"/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8">
        <v>1</v>
      </c>
      <c r="O44" s="8">
        <v>1</v>
      </c>
      <c r="P44" s="47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9"/>
      <c r="AB44" s="9"/>
      <c r="AC44" s="9"/>
      <c r="AD44" s="9"/>
    </row>
    <row r="45" ht="16.5" spans="1:30">
      <c r="A45" s="27"/>
      <c r="B45" s="27"/>
      <c r="C45" s="28" t="s">
        <v>140</v>
      </c>
      <c r="D45" s="29"/>
      <c r="E45" s="22" t="s">
        <v>25</v>
      </c>
      <c r="F45" s="22"/>
      <c r="G45" s="8">
        <v>6</v>
      </c>
      <c r="H45" s="8">
        <v>10</v>
      </c>
      <c r="I45" s="8">
        <v>10</v>
      </c>
      <c r="J45" s="8">
        <v>10</v>
      </c>
      <c r="K45" s="8">
        <v>10</v>
      </c>
      <c r="L45" s="8">
        <v>10</v>
      </c>
      <c r="M45" s="8">
        <v>10</v>
      </c>
      <c r="N45" s="8">
        <v>10</v>
      </c>
      <c r="O45" s="8">
        <v>10</v>
      </c>
      <c r="P45" s="8">
        <v>6</v>
      </c>
      <c r="Q45" s="47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9"/>
      <c r="AB45" s="9"/>
      <c r="AC45" s="9"/>
      <c r="AD45" s="9"/>
    </row>
    <row r="46" ht="17.25" spans="1:30">
      <c r="A46" s="27"/>
      <c r="B46" s="27"/>
      <c r="C46" s="76"/>
      <c r="D46" s="76"/>
      <c r="E46" s="22"/>
      <c r="F46" s="22"/>
      <c r="G46" s="8"/>
      <c r="H46" s="12"/>
      <c r="I46" s="8"/>
      <c r="J46" s="8"/>
      <c r="K46" s="8"/>
      <c r="L46" s="8"/>
      <c r="M46" s="8"/>
      <c r="N46" s="8"/>
      <c r="O46" s="8"/>
      <c r="P46" s="8"/>
      <c r="Q46" s="82">
        <v>4</v>
      </c>
      <c r="R46" s="8"/>
      <c r="S46" s="8"/>
      <c r="T46" s="8"/>
      <c r="U46" s="8"/>
      <c r="V46" s="8"/>
      <c r="W46" s="8"/>
      <c r="X46" s="8"/>
      <c r="Y46" s="86"/>
      <c r="Z46" s="8"/>
      <c r="AA46" s="9"/>
      <c r="AB46" s="9"/>
      <c r="AC46" s="9"/>
      <c r="AD46" s="9"/>
    </row>
    <row r="47" ht="17.25" spans="1:30">
      <c r="A47" s="27"/>
      <c r="B47" s="27" t="s">
        <v>55</v>
      </c>
      <c r="C47" s="28" t="s">
        <v>141</v>
      </c>
      <c r="D47" s="29"/>
      <c r="E47" s="22" t="s">
        <v>32</v>
      </c>
      <c r="F47" s="22"/>
      <c r="G47" s="8">
        <v>4</v>
      </c>
      <c r="H47" s="8">
        <v>4</v>
      </c>
      <c r="I47" s="8">
        <v>4</v>
      </c>
      <c r="J47" s="8">
        <v>4</v>
      </c>
      <c r="K47" s="8">
        <v>4</v>
      </c>
      <c r="L47" s="8">
        <v>4</v>
      </c>
      <c r="M47" s="8">
        <v>4</v>
      </c>
      <c r="N47" s="8">
        <v>4</v>
      </c>
      <c r="O47" s="8">
        <v>4</v>
      </c>
      <c r="P47" s="8">
        <v>4</v>
      </c>
      <c r="Q47" s="8">
        <v>4</v>
      </c>
      <c r="R47" s="47">
        <v>0</v>
      </c>
      <c r="S47" s="83">
        <v>0</v>
      </c>
      <c r="T47" s="83">
        <v>0</v>
      </c>
      <c r="U47" s="83">
        <v>0</v>
      </c>
      <c r="V47" s="83">
        <v>0</v>
      </c>
      <c r="W47" s="83">
        <v>0</v>
      </c>
      <c r="X47" s="83">
        <v>0</v>
      </c>
      <c r="Y47" s="83">
        <v>0</v>
      </c>
      <c r="Z47" s="83">
        <v>0</v>
      </c>
      <c r="AA47" s="9"/>
      <c r="AB47" s="9"/>
      <c r="AC47" s="9"/>
      <c r="AD47" s="9"/>
    </row>
    <row r="48" ht="17.25" spans="1:30">
      <c r="A48" s="27"/>
      <c r="B48" s="27"/>
      <c r="C48" s="28" t="s">
        <v>142</v>
      </c>
      <c r="D48" s="29"/>
      <c r="E48" s="22" t="s">
        <v>143</v>
      </c>
      <c r="F48" s="22"/>
      <c r="G48" s="8">
        <v>3</v>
      </c>
      <c r="H48" s="8">
        <v>3</v>
      </c>
      <c r="I48" s="8">
        <v>3</v>
      </c>
      <c r="J48" s="8">
        <v>3</v>
      </c>
      <c r="K48" s="8">
        <v>3</v>
      </c>
      <c r="L48" s="8">
        <v>3</v>
      </c>
      <c r="M48" s="8">
        <v>3</v>
      </c>
      <c r="N48" s="8">
        <v>3</v>
      </c>
      <c r="O48" s="8">
        <v>3</v>
      </c>
      <c r="P48" s="8">
        <v>3</v>
      </c>
      <c r="Q48" s="8">
        <v>3</v>
      </c>
      <c r="R48" s="47">
        <v>0</v>
      </c>
      <c r="S48" s="83">
        <v>0</v>
      </c>
      <c r="T48" s="83">
        <v>0</v>
      </c>
      <c r="U48" s="83">
        <v>0</v>
      </c>
      <c r="V48" s="83">
        <v>0</v>
      </c>
      <c r="W48" s="83">
        <v>0</v>
      </c>
      <c r="X48" s="83">
        <v>0</v>
      </c>
      <c r="Y48" s="83">
        <v>0</v>
      </c>
      <c r="Z48" s="83">
        <v>0</v>
      </c>
      <c r="AA48" s="9"/>
      <c r="AB48" s="9"/>
      <c r="AC48" s="9"/>
      <c r="AD48" s="9"/>
    </row>
    <row r="49" ht="17.25" spans="1:30">
      <c r="A49" s="27"/>
      <c r="B49" s="27"/>
      <c r="C49" s="28" t="s">
        <v>144</v>
      </c>
      <c r="D49" s="29"/>
      <c r="E49" s="22" t="s">
        <v>143</v>
      </c>
      <c r="F49" s="22"/>
      <c r="G49" s="8">
        <v>2</v>
      </c>
      <c r="H49" s="8">
        <v>3</v>
      </c>
      <c r="I49" s="8">
        <v>3</v>
      </c>
      <c r="J49" s="8">
        <v>3</v>
      </c>
      <c r="K49" s="8">
        <v>3</v>
      </c>
      <c r="L49" s="8">
        <v>3</v>
      </c>
      <c r="M49" s="8">
        <v>3</v>
      </c>
      <c r="N49" s="8">
        <v>3</v>
      </c>
      <c r="O49" s="8">
        <v>3</v>
      </c>
      <c r="P49" s="8">
        <v>3</v>
      </c>
      <c r="Q49" s="8">
        <v>3</v>
      </c>
      <c r="R49" s="47">
        <v>0</v>
      </c>
      <c r="S49" s="83">
        <v>0</v>
      </c>
      <c r="T49" s="83">
        <v>0</v>
      </c>
      <c r="U49" s="83">
        <v>0</v>
      </c>
      <c r="V49" s="83">
        <v>0</v>
      </c>
      <c r="W49" s="83">
        <v>0</v>
      </c>
      <c r="X49" s="83">
        <v>0</v>
      </c>
      <c r="Y49" s="83">
        <v>0</v>
      </c>
      <c r="Z49" s="83">
        <v>0</v>
      </c>
      <c r="AA49" s="9"/>
      <c r="AB49" s="9"/>
      <c r="AC49" s="9"/>
      <c r="AD49" s="9"/>
    </row>
    <row r="50" ht="17.25" spans="1:30">
      <c r="A50" s="27"/>
      <c r="B50" s="27"/>
      <c r="C50" s="28" t="s">
        <v>145</v>
      </c>
      <c r="D50" s="29"/>
      <c r="E50" s="22" t="s">
        <v>32</v>
      </c>
      <c r="F50" s="22"/>
      <c r="G50" s="8">
        <v>5</v>
      </c>
      <c r="H50" s="8">
        <v>5</v>
      </c>
      <c r="I50" s="8">
        <v>5</v>
      </c>
      <c r="J50" s="8">
        <v>5</v>
      </c>
      <c r="K50" s="8">
        <v>5</v>
      </c>
      <c r="L50" s="8">
        <v>5</v>
      </c>
      <c r="M50" s="8">
        <v>5</v>
      </c>
      <c r="N50" s="8">
        <v>5</v>
      </c>
      <c r="O50" s="8">
        <v>5</v>
      </c>
      <c r="P50" s="8">
        <v>5</v>
      </c>
      <c r="Q50" s="8">
        <v>5</v>
      </c>
      <c r="R50" s="8">
        <v>5</v>
      </c>
      <c r="S50" s="47">
        <v>0</v>
      </c>
      <c r="T50" s="83">
        <v>0</v>
      </c>
      <c r="U50" s="83">
        <v>0</v>
      </c>
      <c r="V50" s="83">
        <v>0</v>
      </c>
      <c r="W50" s="83">
        <v>0</v>
      </c>
      <c r="X50" s="83">
        <v>0</v>
      </c>
      <c r="Y50" s="83">
        <v>0</v>
      </c>
      <c r="Z50" s="83">
        <v>0</v>
      </c>
      <c r="AA50" s="9"/>
      <c r="AB50" s="9"/>
      <c r="AC50" s="9"/>
      <c r="AD50" s="9"/>
    </row>
    <row r="51" ht="17.25" spans="1:30">
      <c r="A51" s="27"/>
      <c r="B51" s="27"/>
      <c r="C51" s="29" t="s">
        <v>146</v>
      </c>
      <c r="D51" s="74"/>
      <c r="E51" s="22" t="s">
        <v>143</v>
      </c>
      <c r="F51" s="22"/>
      <c r="G51" s="8">
        <v>3</v>
      </c>
      <c r="H51" s="8">
        <v>2</v>
      </c>
      <c r="I51" s="8">
        <v>2</v>
      </c>
      <c r="J51" s="8">
        <v>2</v>
      </c>
      <c r="K51" s="8">
        <v>2</v>
      </c>
      <c r="L51" s="8">
        <v>2</v>
      </c>
      <c r="M51" s="8">
        <v>2</v>
      </c>
      <c r="N51" s="8">
        <v>2</v>
      </c>
      <c r="O51" s="8">
        <v>2</v>
      </c>
      <c r="P51" s="8">
        <v>2</v>
      </c>
      <c r="Q51" s="8">
        <v>2</v>
      </c>
      <c r="R51" s="8">
        <v>2</v>
      </c>
      <c r="S51" s="47">
        <v>0</v>
      </c>
      <c r="T51" s="83">
        <v>0</v>
      </c>
      <c r="U51" s="83">
        <v>0</v>
      </c>
      <c r="V51" s="83">
        <v>0</v>
      </c>
      <c r="W51" s="83">
        <v>0</v>
      </c>
      <c r="X51" s="83">
        <v>0</v>
      </c>
      <c r="Y51" s="83">
        <v>0</v>
      </c>
      <c r="Z51" s="83">
        <v>0</v>
      </c>
      <c r="AA51" s="9"/>
      <c r="AB51" s="9"/>
      <c r="AC51" s="9"/>
      <c r="AD51" s="9"/>
    </row>
    <row r="52" ht="17.25" spans="1:30">
      <c r="A52" s="27"/>
      <c r="B52" s="27"/>
      <c r="C52" s="28" t="s">
        <v>147</v>
      </c>
      <c r="D52" s="29"/>
      <c r="E52" s="22" t="s">
        <v>32</v>
      </c>
      <c r="F52" s="22"/>
      <c r="G52" s="8">
        <v>2</v>
      </c>
      <c r="H52" s="8">
        <v>2</v>
      </c>
      <c r="I52" s="8">
        <v>2</v>
      </c>
      <c r="J52" s="8">
        <v>2</v>
      </c>
      <c r="K52" s="8">
        <v>2</v>
      </c>
      <c r="L52" s="8">
        <v>2</v>
      </c>
      <c r="M52" s="8">
        <v>2</v>
      </c>
      <c r="N52" s="8">
        <v>2</v>
      </c>
      <c r="O52" s="8">
        <v>2</v>
      </c>
      <c r="P52" s="8">
        <v>2</v>
      </c>
      <c r="Q52" s="8">
        <v>2</v>
      </c>
      <c r="R52" s="8">
        <v>2</v>
      </c>
      <c r="S52" s="47">
        <v>0</v>
      </c>
      <c r="T52" s="83">
        <v>0</v>
      </c>
      <c r="U52" s="83">
        <v>0</v>
      </c>
      <c r="V52" s="83">
        <v>0</v>
      </c>
      <c r="W52" s="83">
        <v>0</v>
      </c>
      <c r="X52" s="83">
        <v>0</v>
      </c>
      <c r="Y52" s="83">
        <v>0</v>
      </c>
      <c r="Z52" s="83">
        <v>0</v>
      </c>
      <c r="AA52" s="9"/>
      <c r="AB52" s="9"/>
      <c r="AC52" s="9"/>
      <c r="AD52" s="9"/>
    </row>
    <row r="53" ht="17.25" spans="1:30">
      <c r="A53" s="27"/>
      <c r="B53" s="27"/>
      <c r="C53" s="28" t="s">
        <v>148</v>
      </c>
      <c r="D53" s="29"/>
      <c r="E53" s="22" t="s">
        <v>32</v>
      </c>
      <c r="F53" s="22"/>
      <c r="G53" s="8">
        <v>2</v>
      </c>
      <c r="H53" s="8">
        <v>2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2</v>
      </c>
      <c r="O53" s="8">
        <v>2</v>
      </c>
      <c r="P53" s="8">
        <v>2</v>
      </c>
      <c r="Q53" s="8">
        <v>2</v>
      </c>
      <c r="R53" s="8">
        <v>2</v>
      </c>
      <c r="S53" s="47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9"/>
      <c r="AB53" s="9"/>
      <c r="AC53" s="9"/>
      <c r="AD53" s="9"/>
    </row>
    <row r="54" ht="17.25" spans="1:30">
      <c r="A54" s="27"/>
      <c r="B54" s="27"/>
      <c r="C54" s="28" t="s">
        <v>149</v>
      </c>
      <c r="D54" s="29"/>
      <c r="E54" s="22" t="s">
        <v>32</v>
      </c>
      <c r="F54" s="22"/>
      <c r="G54" s="8">
        <v>2</v>
      </c>
      <c r="H54" s="8">
        <v>3</v>
      </c>
      <c r="I54" s="8">
        <v>3</v>
      </c>
      <c r="J54" s="8">
        <v>3</v>
      </c>
      <c r="K54" s="8">
        <v>3</v>
      </c>
      <c r="L54" s="8">
        <v>3</v>
      </c>
      <c r="M54" s="8">
        <v>3</v>
      </c>
      <c r="N54" s="8">
        <v>3</v>
      </c>
      <c r="O54" s="8">
        <v>3</v>
      </c>
      <c r="P54" s="8">
        <v>3</v>
      </c>
      <c r="Q54" s="8">
        <v>3</v>
      </c>
      <c r="R54" s="8">
        <v>3</v>
      </c>
      <c r="S54" s="8">
        <v>2</v>
      </c>
      <c r="T54" s="47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9"/>
      <c r="AB54" s="9"/>
      <c r="AC54" s="9"/>
      <c r="AD54" s="9"/>
    </row>
    <row r="55" ht="17.25" spans="1:30">
      <c r="A55" s="27"/>
      <c r="B55" s="27"/>
      <c r="C55" s="76"/>
      <c r="D55" s="76"/>
      <c r="E55" s="22"/>
      <c r="F55" s="22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48">
        <v>1</v>
      </c>
      <c r="U55" s="83"/>
      <c r="V55" s="8"/>
      <c r="W55" s="8"/>
      <c r="X55" s="8"/>
      <c r="Y55" s="86"/>
      <c r="Z55" s="8"/>
      <c r="AA55" s="9"/>
      <c r="AB55" s="9"/>
      <c r="AC55" s="9"/>
      <c r="AD55" s="9"/>
    </row>
    <row r="56" ht="16.5" spans="1:30">
      <c r="A56" s="27"/>
      <c r="B56" s="27"/>
      <c r="C56" s="28" t="s">
        <v>150</v>
      </c>
      <c r="D56" s="29"/>
      <c r="E56" s="22" t="s">
        <v>32</v>
      </c>
      <c r="F56" s="22"/>
      <c r="G56" s="8">
        <v>3</v>
      </c>
      <c r="H56" s="8">
        <v>3</v>
      </c>
      <c r="I56" s="8">
        <v>3</v>
      </c>
      <c r="J56" s="8">
        <v>3</v>
      </c>
      <c r="K56" s="8">
        <v>3</v>
      </c>
      <c r="L56" s="8">
        <v>3</v>
      </c>
      <c r="M56" s="8">
        <v>3</v>
      </c>
      <c r="N56" s="8">
        <v>3</v>
      </c>
      <c r="O56" s="8">
        <v>3</v>
      </c>
      <c r="P56" s="8">
        <v>3</v>
      </c>
      <c r="Q56" s="8">
        <v>3</v>
      </c>
      <c r="R56" s="8">
        <v>3</v>
      </c>
      <c r="S56" s="8">
        <v>3</v>
      </c>
      <c r="T56" s="47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9"/>
      <c r="AB56" s="9"/>
      <c r="AC56" s="9"/>
      <c r="AD56" s="9"/>
    </row>
    <row r="57" ht="16.5" spans="1:30">
      <c r="A57" s="27"/>
      <c r="B57" s="27"/>
      <c r="C57" s="28" t="s">
        <v>151</v>
      </c>
      <c r="D57" s="29"/>
      <c r="E57" s="22" t="s">
        <v>32</v>
      </c>
      <c r="F57" s="22"/>
      <c r="G57" s="8">
        <v>3</v>
      </c>
      <c r="H57" s="8">
        <v>3</v>
      </c>
      <c r="I57" s="8">
        <v>3</v>
      </c>
      <c r="J57" s="8">
        <v>3</v>
      </c>
      <c r="K57" s="8">
        <v>3</v>
      </c>
      <c r="L57" s="8">
        <v>3</v>
      </c>
      <c r="M57" s="8">
        <v>3</v>
      </c>
      <c r="N57" s="8">
        <v>3</v>
      </c>
      <c r="O57" s="8">
        <v>3</v>
      </c>
      <c r="P57" s="8">
        <v>3</v>
      </c>
      <c r="Q57" s="8">
        <v>3</v>
      </c>
      <c r="R57" s="8">
        <v>3</v>
      </c>
      <c r="S57" s="8">
        <v>2</v>
      </c>
      <c r="T57" s="47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9"/>
      <c r="AB57" s="9"/>
      <c r="AC57" s="9"/>
      <c r="AD57" s="9"/>
    </row>
    <row r="58" ht="17.25" spans="1:30">
      <c r="A58" s="27"/>
      <c r="B58" s="27"/>
      <c r="C58" s="77"/>
      <c r="D58" s="78"/>
      <c r="E58" s="22"/>
      <c r="F58" s="22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48">
        <v>1</v>
      </c>
      <c r="U58" s="8"/>
      <c r="V58" s="8"/>
      <c r="W58" s="8"/>
      <c r="X58" s="8"/>
      <c r="Y58" s="86"/>
      <c r="Z58" s="8"/>
      <c r="AA58" s="9"/>
      <c r="AB58" s="9"/>
      <c r="AC58" s="9"/>
      <c r="AD58" s="9"/>
    </row>
    <row r="59" ht="17.25" spans="1:30">
      <c r="A59" s="27"/>
      <c r="B59" s="27"/>
      <c r="C59" s="29" t="s">
        <v>152</v>
      </c>
      <c r="D59" s="74"/>
      <c r="E59" s="22" t="s">
        <v>130</v>
      </c>
      <c r="F59" s="22"/>
      <c r="G59" s="8">
        <v>3</v>
      </c>
      <c r="H59" s="8">
        <v>3</v>
      </c>
      <c r="I59" s="8">
        <v>3</v>
      </c>
      <c r="J59" s="8">
        <v>3</v>
      </c>
      <c r="K59" s="8">
        <v>3</v>
      </c>
      <c r="L59" s="8">
        <v>3</v>
      </c>
      <c r="M59" s="8">
        <v>3</v>
      </c>
      <c r="N59" s="8">
        <v>3</v>
      </c>
      <c r="O59" s="8">
        <v>3</v>
      </c>
      <c r="P59" s="8">
        <v>3</v>
      </c>
      <c r="Q59" s="8">
        <v>3</v>
      </c>
      <c r="R59" s="8">
        <v>3</v>
      </c>
      <c r="S59" s="8">
        <v>3</v>
      </c>
      <c r="T59" s="47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9"/>
      <c r="AB59" s="9"/>
      <c r="AC59" s="9"/>
      <c r="AD59" s="9"/>
    </row>
    <row r="60" ht="17.25" spans="1:30">
      <c r="A60" s="27"/>
      <c r="B60" s="27"/>
      <c r="C60" s="29" t="s">
        <v>153</v>
      </c>
      <c r="D60" s="74"/>
      <c r="E60" s="22" t="s">
        <v>130</v>
      </c>
      <c r="F60" s="22"/>
      <c r="G60" s="8">
        <v>3</v>
      </c>
      <c r="H60" s="8">
        <v>3</v>
      </c>
      <c r="I60" s="8">
        <v>3</v>
      </c>
      <c r="J60" s="8">
        <v>3</v>
      </c>
      <c r="K60" s="8">
        <v>3</v>
      </c>
      <c r="L60" s="8">
        <v>3</v>
      </c>
      <c r="M60" s="8">
        <v>3</v>
      </c>
      <c r="N60" s="8">
        <v>3</v>
      </c>
      <c r="O60" s="8">
        <v>3</v>
      </c>
      <c r="P60" s="8">
        <v>3</v>
      </c>
      <c r="Q60" s="8">
        <v>3</v>
      </c>
      <c r="R60" s="8">
        <v>3</v>
      </c>
      <c r="S60" s="8">
        <v>3</v>
      </c>
      <c r="T60" s="47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9"/>
      <c r="AB60" s="9"/>
      <c r="AC60" s="9"/>
      <c r="AD60" s="9"/>
    </row>
    <row r="61" ht="17.25" spans="1:30">
      <c r="A61" s="27"/>
      <c r="B61" s="27"/>
      <c r="C61" s="29" t="s">
        <v>154</v>
      </c>
      <c r="D61" s="74"/>
      <c r="E61" s="22" t="s">
        <v>32</v>
      </c>
      <c r="F61" s="22"/>
      <c r="G61" s="8">
        <v>4</v>
      </c>
      <c r="H61" s="8">
        <v>4</v>
      </c>
      <c r="I61" s="8">
        <v>4</v>
      </c>
      <c r="J61" s="8">
        <v>4</v>
      </c>
      <c r="K61" s="8">
        <v>4</v>
      </c>
      <c r="L61" s="8">
        <v>4</v>
      </c>
      <c r="M61" s="8">
        <v>4</v>
      </c>
      <c r="N61" s="8">
        <v>4</v>
      </c>
      <c r="O61" s="8">
        <v>4</v>
      </c>
      <c r="P61" s="8">
        <v>4</v>
      </c>
      <c r="Q61" s="8">
        <v>4</v>
      </c>
      <c r="R61" s="8">
        <v>4</v>
      </c>
      <c r="S61" s="8">
        <v>4</v>
      </c>
      <c r="T61" s="8">
        <v>4</v>
      </c>
      <c r="U61" s="47">
        <v>0</v>
      </c>
      <c r="V61" s="83">
        <v>0</v>
      </c>
      <c r="W61" s="83">
        <v>0</v>
      </c>
      <c r="X61" s="83">
        <v>0</v>
      </c>
      <c r="Y61" s="83">
        <v>0</v>
      </c>
      <c r="Z61" s="83">
        <v>0</v>
      </c>
      <c r="AA61" s="9"/>
      <c r="AB61" s="9"/>
      <c r="AC61" s="9"/>
      <c r="AD61" s="9"/>
    </row>
    <row r="62" ht="17.25" spans="1:30">
      <c r="A62" s="27"/>
      <c r="B62" s="27"/>
      <c r="C62" s="29" t="s">
        <v>155</v>
      </c>
      <c r="D62" s="74"/>
      <c r="E62" s="22" t="s">
        <v>130</v>
      </c>
      <c r="F62" s="22"/>
      <c r="G62" s="8">
        <v>2</v>
      </c>
      <c r="H62" s="8">
        <v>2</v>
      </c>
      <c r="I62" s="8">
        <v>2</v>
      </c>
      <c r="J62" s="8">
        <v>2</v>
      </c>
      <c r="K62" s="8">
        <v>2</v>
      </c>
      <c r="L62" s="8">
        <v>2</v>
      </c>
      <c r="M62" s="8">
        <v>2</v>
      </c>
      <c r="N62" s="8">
        <v>2</v>
      </c>
      <c r="O62" s="8">
        <v>2</v>
      </c>
      <c r="P62" s="8">
        <v>2</v>
      </c>
      <c r="Q62" s="8">
        <v>2</v>
      </c>
      <c r="R62" s="8">
        <v>2</v>
      </c>
      <c r="S62" s="8">
        <v>2</v>
      </c>
      <c r="T62" s="8">
        <v>2</v>
      </c>
      <c r="U62" s="47">
        <v>0</v>
      </c>
      <c r="V62" s="83">
        <v>0</v>
      </c>
      <c r="W62" s="83">
        <v>0</v>
      </c>
      <c r="X62" s="83">
        <v>0</v>
      </c>
      <c r="Y62" s="83">
        <v>0</v>
      </c>
      <c r="Z62" s="83">
        <v>0</v>
      </c>
      <c r="AA62" s="9"/>
      <c r="AB62" s="9"/>
      <c r="AC62" s="9"/>
      <c r="AD62" s="9"/>
    </row>
    <row r="63" ht="17.25" spans="1:30">
      <c r="A63" s="27"/>
      <c r="B63" s="27"/>
      <c r="C63" s="29" t="s">
        <v>156</v>
      </c>
      <c r="D63" s="74"/>
      <c r="E63" s="22" t="s">
        <v>27</v>
      </c>
      <c r="F63" s="22"/>
      <c r="G63" s="8">
        <v>2</v>
      </c>
      <c r="H63" s="8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v>2</v>
      </c>
      <c r="T63" s="8">
        <v>2</v>
      </c>
      <c r="U63" s="8">
        <v>2</v>
      </c>
      <c r="V63" s="47">
        <v>0</v>
      </c>
      <c r="W63" s="83">
        <v>0</v>
      </c>
      <c r="X63" s="83">
        <v>0</v>
      </c>
      <c r="Y63" s="83">
        <v>0</v>
      </c>
      <c r="Z63" s="83">
        <v>0</v>
      </c>
      <c r="AA63" s="9"/>
      <c r="AB63" s="9"/>
      <c r="AC63" s="9"/>
      <c r="AD63" s="9"/>
    </row>
    <row r="64" ht="17.25" spans="1:30">
      <c r="A64" s="27"/>
      <c r="B64" s="27"/>
      <c r="C64" s="29" t="s">
        <v>157</v>
      </c>
      <c r="D64" s="74"/>
      <c r="E64" s="22" t="s">
        <v>27</v>
      </c>
      <c r="F64" s="22"/>
      <c r="G64" s="8">
        <v>2</v>
      </c>
      <c r="H64" s="8">
        <v>2</v>
      </c>
      <c r="I64" s="8">
        <v>2</v>
      </c>
      <c r="J64" s="8">
        <v>2</v>
      </c>
      <c r="K64" s="8">
        <v>2</v>
      </c>
      <c r="L64" s="8">
        <v>2</v>
      </c>
      <c r="M64" s="8">
        <v>2</v>
      </c>
      <c r="N64" s="8">
        <v>2</v>
      </c>
      <c r="O64" s="8">
        <v>2</v>
      </c>
      <c r="P64" s="8">
        <v>2</v>
      </c>
      <c r="Q64" s="8">
        <v>2</v>
      </c>
      <c r="R64" s="8">
        <v>2</v>
      </c>
      <c r="S64" s="8">
        <v>2</v>
      </c>
      <c r="T64" s="8">
        <v>2</v>
      </c>
      <c r="U64" s="8">
        <v>2</v>
      </c>
      <c r="V64" s="47">
        <v>0</v>
      </c>
      <c r="W64" s="83">
        <v>0</v>
      </c>
      <c r="X64" s="83">
        <v>0</v>
      </c>
      <c r="Y64" s="83">
        <v>0</v>
      </c>
      <c r="Z64" s="83">
        <v>0</v>
      </c>
      <c r="AA64" s="9"/>
      <c r="AB64" s="9"/>
      <c r="AC64" s="9"/>
      <c r="AD64" s="9"/>
    </row>
    <row r="65" ht="17.25" spans="1:30">
      <c r="A65" s="27"/>
      <c r="B65" s="27"/>
      <c r="C65" s="29" t="s">
        <v>158</v>
      </c>
      <c r="D65" s="74"/>
      <c r="E65" s="30" t="s">
        <v>159</v>
      </c>
      <c r="F65" s="31"/>
      <c r="G65" s="8">
        <v>3</v>
      </c>
      <c r="H65" s="8">
        <v>3</v>
      </c>
      <c r="I65" s="8">
        <v>3</v>
      </c>
      <c r="J65" s="8">
        <v>3</v>
      </c>
      <c r="K65" s="8">
        <v>3</v>
      </c>
      <c r="L65" s="8">
        <v>3</v>
      </c>
      <c r="M65" s="8">
        <v>3</v>
      </c>
      <c r="N65" s="8">
        <v>3</v>
      </c>
      <c r="O65" s="8">
        <v>3</v>
      </c>
      <c r="P65" s="8">
        <v>3</v>
      </c>
      <c r="Q65" s="8">
        <v>3</v>
      </c>
      <c r="R65" s="8">
        <v>3</v>
      </c>
      <c r="S65" s="8">
        <v>3</v>
      </c>
      <c r="T65" s="8">
        <v>3</v>
      </c>
      <c r="U65" s="8">
        <v>3</v>
      </c>
      <c r="V65" s="47">
        <v>0</v>
      </c>
      <c r="W65" s="83">
        <v>0</v>
      </c>
      <c r="X65" s="83">
        <v>0</v>
      </c>
      <c r="Y65" s="83">
        <v>0</v>
      </c>
      <c r="Z65" s="83">
        <v>0</v>
      </c>
      <c r="AA65" s="9"/>
      <c r="AB65" s="9"/>
      <c r="AC65" s="9"/>
      <c r="AD65" s="9"/>
    </row>
    <row r="66" ht="16.5" spans="1:30">
      <c r="A66" s="27"/>
      <c r="B66" s="27"/>
      <c r="C66" s="29" t="s">
        <v>160</v>
      </c>
      <c r="D66" s="74"/>
      <c r="E66" s="22" t="s">
        <v>27</v>
      </c>
      <c r="F66" s="22"/>
      <c r="G66" s="8">
        <v>2</v>
      </c>
      <c r="H66" s="8">
        <v>2</v>
      </c>
      <c r="I66" s="8">
        <v>2</v>
      </c>
      <c r="J66" s="8">
        <v>2</v>
      </c>
      <c r="K66" s="8">
        <v>2</v>
      </c>
      <c r="L66" s="8">
        <v>2</v>
      </c>
      <c r="M66" s="8">
        <v>2</v>
      </c>
      <c r="N66" s="8">
        <v>2</v>
      </c>
      <c r="O66" s="8">
        <v>2</v>
      </c>
      <c r="P66" s="8">
        <v>2</v>
      </c>
      <c r="Q66" s="8">
        <v>2</v>
      </c>
      <c r="R66" s="8">
        <v>2</v>
      </c>
      <c r="S66" s="8">
        <v>2</v>
      </c>
      <c r="T66" s="8">
        <v>2</v>
      </c>
      <c r="U66" s="8">
        <v>2</v>
      </c>
      <c r="V66" s="47">
        <v>0</v>
      </c>
      <c r="W66" s="8">
        <v>0</v>
      </c>
      <c r="X66" s="8">
        <v>0</v>
      </c>
      <c r="Y66" s="86">
        <v>0</v>
      </c>
      <c r="Z66" s="8">
        <v>0</v>
      </c>
      <c r="AA66" s="9"/>
      <c r="AB66" s="9"/>
      <c r="AC66" s="9"/>
      <c r="AD66" s="9"/>
    </row>
    <row r="67" ht="16.5" spans="1:30">
      <c r="A67" s="27"/>
      <c r="B67" s="27"/>
      <c r="C67" s="29" t="s">
        <v>161</v>
      </c>
      <c r="D67" s="74"/>
      <c r="E67" s="22" t="s">
        <v>25</v>
      </c>
      <c r="F67" s="22"/>
      <c r="G67" s="8">
        <v>10</v>
      </c>
      <c r="H67" s="8">
        <v>10</v>
      </c>
      <c r="I67" s="8">
        <v>10</v>
      </c>
      <c r="J67" s="8">
        <v>10</v>
      </c>
      <c r="K67" s="8">
        <v>10</v>
      </c>
      <c r="L67" s="8">
        <v>10</v>
      </c>
      <c r="M67" s="8">
        <v>10</v>
      </c>
      <c r="N67" s="8">
        <v>10</v>
      </c>
      <c r="O67" s="8">
        <v>10</v>
      </c>
      <c r="P67" s="8">
        <v>10</v>
      </c>
      <c r="Q67" s="8">
        <v>10</v>
      </c>
      <c r="R67" s="8">
        <v>10</v>
      </c>
      <c r="S67" s="8">
        <v>10</v>
      </c>
      <c r="T67" s="8">
        <v>10</v>
      </c>
      <c r="U67" s="8">
        <v>10</v>
      </c>
      <c r="V67" s="8">
        <v>10</v>
      </c>
      <c r="W67" s="47">
        <v>0</v>
      </c>
      <c r="X67" s="8">
        <v>0</v>
      </c>
      <c r="Y67" s="86">
        <v>0</v>
      </c>
      <c r="Z67" s="8">
        <v>0</v>
      </c>
      <c r="AA67" s="9"/>
      <c r="AB67" s="9"/>
      <c r="AC67" s="9"/>
      <c r="AD67" s="9"/>
    </row>
    <row r="68" ht="16.5" spans="1:30">
      <c r="A68" s="27"/>
      <c r="B68" s="27" t="s">
        <v>79</v>
      </c>
      <c r="C68" s="28" t="s">
        <v>162</v>
      </c>
      <c r="D68" s="29"/>
      <c r="E68" s="22" t="s">
        <v>130</v>
      </c>
      <c r="F68" s="22"/>
      <c r="G68" s="8">
        <v>2</v>
      </c>
      <c r="H68" s="8">
        <v>2</v>
      </c>
      <c r="I68" s="8">
        <v>2</v>
      </c>
      <c r="J68" s="8">
        <v>2</v>
      </c>
      <c r="K68" s="8">
        <v>2</v>
      </c>
      <c r="L68" s="8">
        <v>2</v>
      </c>
      <c r="M68" s="8">
        <v>2</v>
      </c>
      <c r="N68" s="8">
        <v>2</v>
      </c>
      <c r="O68" s="8">
        <v>2</v>
      </c>
      <c r="P68" s="8">
        <v>2</v>
      </c>
      <c r="Q68" s="8">
        <v>2</v>
      </c>
      <c r="R68" s="8">
        <v>2</v>
      </c>
      <c r="S68" s="8">
        <v>2</v>
      </c>
      <c r="T68" s="8">
        <v>2</v>
      </c>
      <c r="U68" s="8">
        <v>2</v>
      </c>
      <c r="V68" s="8">
        <v>2</v>
      </c>
      <c r="W68" s="8">
        <v>2</v>
      </c>
      <c r="X68" s="47">
        <v>0</v>
      </c>
      <c r="Y68" s="86">
        <v>0</v>
      </c>
      <c r="Z68" s="8">
        <v>0</v>
      </c>
      <c r="AA68" s="9"/>
      <c r="AB68" s="9"/>
      <c r="AC68" s="9"/>
      <c r="AD68" s="9"/>
    </row>
    <row r="69" ht="16.5" spans="1:30">
      <c r="A69" s="27"/>
      <c r="B69" s="27"/>
      <c r="C69" s="28" t="s">
        <v>163</v>
      </c>
      <c r="D69" s="29"/>
      <c r="E69" s="22" t="s">
        <v>130</v>
      </c>
      <c r="F69" s="22"/>
      <c r="G69" s="8">
        <v>2</v>
      </c>
      <c r="H69" s="8">
        <v>2</v>
      </c>
      <c r="I69" s="8">
        <v>2</v>
      </c>
      <c r="J69" s="8">
        <v>2</v>
      </c>
      <c r="K69" s="8">
        <v>2</v>
      </c>
      <c r="L69" s="8">
        <v>2</v>
      </c>
      <c r="M69" s="8">
        <v>2</v>
      </c>
      <c r="N69" s="8">
        <v>2</v>
      </c>
      <c r="O69" s="8">
        <v>2</v>
      </c>
      <c r="P69" s="8">
        <v>2</v>
      </c>
      <c r="Q69" s="8">
        <v>2</v>
      </c>
      <c r="R69" s="8">
        <v>2</v>
      </c>
      <c r="S69" s="8">
        <v>2</v>
      </c>
      <c r="T69" s="8">
        <v>2</v>
      </c>
      <c r="U69" s="8">
        <v>2</v>
      </c>
      <c r="V69" s="8">
        <v>2</v>
      </c>
      <c r="W69" s="8">
        <v>2</v>
      </c>
      <c r="X69" s="47">
        <v>0</v>
      </c>
      <c r="Y69" s="86">
        <v>0</v>
      </c>
      <c r="Z69" s="8">
        <v>0</v>
      </c>
      <c r="AA69" s="9"/>
      <c r="AB69" s="9"/>
      <c r="AC69" s="9"/>
      <c r="AD69" s="9"/>
    </row>
    <row r="70" ht="16.5" spans="1:30">
      <c r="A70" s="27"/>
      <c r="B70" s="27"/>
      <c r="C70" s="29" t="s">
        <v>164</v>
      </c>
      <c r="D70" s="74"/>
      <c r="E70" s="22" t="s">
        <v>27</v>
      </c>
      <c r="F70" s="22"/>
      <c r="G70" s="8">
        <v>2</v>
      </c>
      <c r="H70" s="8">
        <v>2</v>
      </c>
      <c r="I70" s="8">
        <v>2</v>
      </c>
      <c r="J70" s="8">
        <v>2</v>
      </c>
      <c r="K70" s="8">
        <v>2</v>
      </c>
      <c r="L70" s="8">
        <v>2</v>
      </c>
      <c r="M70" s="8">
        <v>2</v>
      </c>
      <c r="N70" s="8">
        <v>2</v>
      </c>
      <c r="O70" s="8">
        <v>2</v>
      </c>
      <c r="P70" s="8">
        <v>2</v>
      </c>
      <c r="Q70" s="8">
        <v>2</v>
      </c>
      <c r="R70" s="8">
        <v>2</v>
      </c>
      <c r="S70" s="8">
        <v>2</v>
      </c>
      <c r="T70" s="8">
        <v>2</v>
      </c>
      <c r="U70" s="8">
        <v>2</v>
      </c>
      <c r="V70" s="8">
        <v>2</v>
      </c>
      <c r="W70" s="8">
        <v>2</v>
      </c>
      <c r="X70" s="47">
        <v>0</v>
      </c>
      <c r="Y70" s="86">
        <v>0</v>
      </c>
      <c r="Z70" s="8">
        <v>0</v>
      </c>
      <c r="AA70" s="9"/>
      <c r="AB70" s="9"/>
      <c r="AC70" s="9"/>
      <c r="AD70" s="9"/>
    </row>
    <row r="71" ht="16.5" spans="1:30">
      <c r="A71" s="27"/>
      <c r="B71" s="27"/>
      <c r="C71" s="28" t="s">
        <v>165</v>
      </c>
      <c r="D71" s="29"/>
      <c r="E71" s="22" t="s">
        <v>132</v>
      </c>
      <c r="F71" s="22"/>
      <c r="G71" s="8">
        <v>1</v>
      </c>
      <c r="H71" s="8">
        <v>1</v>
      </c>
      <c r="I71" s="8">
        <v>1</v>
      </c>
      <c r="J71" s="8">
        <v>1</v>
      </c>
      <c r="K71" s="8">
        <v>1</v>
      </c>
      <c r="L71" s="8">
        <v>1</v>
      </c>
      <c r="M71" s="8">
        <v>1</v>
      </c>
      <c r="N71" s="8">
        <v>1</v>
      </c>
      <c r="O71" s="8">
        <v>1</v>
      </c>
      <c r="P71" s="8">
        <v>1</v>
      </c>
      <c r="Q71" s="8">
        <v>1</v>
      </c>
      <c r="R71" s="8">
        <v>1</v>
      </c>
      <c r="S71" s="8">
        <v>1</v>
      </c>
      <c r="T71" s="8">
        <v>1</v>
      </c>
      <c r="U71" s="8">
        <v>1</v>
      </c>
      <c r="V71" s="8">
        <v>1</v>
      </c>
      <c r="W71" s="8">
        <v>1</v>
      </c>
      <c r="X71" s="47">
        <v>0</v>
      </c>
      <c r="Y71" s="86">
        <v>0</v>
      </c>
      <c r="Z71" s="8">
        <v>0</v>
      </c>
      <c r="AA71" s="9"/>
      <c r="AB71" s="9"/>
      <c r="AC71" s="9"/>
      <c r="AD71" s="9"/>
    </row>
    <row r="72" ht="16.5" spans="1:30">
      <c r="A72" s="27"/>
      <c r="B72" s="27"/>
      <c r="C72" s="28" t="s">
        <v>166</v>
      </c>
      <c r="D72" s="29"/>
      <c r="E72" s="22" t="s">
        <v>132</v>
      </c>
      <c r="F72" s="22"/>
      <c r="G72" s="8">
        <v>1</v>
      </c>
      <c r="H72" s="8">
        <v>1</v>
      </c>
      <c r="I72" s="8">
        <v>1</v>
      </c>
      <c r="J72" s="8">
        <v>1</v>
      </c>
      <c r="K72" s="8">
        <v>1</v>
      </c>
      <c r="L72" s="8">
        <v>1</v>
      </c>
      <c r="M72" s="8">
        <v>1</v>
      </c>
      <c r="N72" s="8">
        <v>1</v>
      </c>
      <c r="O72" s="8">
        <v>1</v>
      </c>
      <c r="P72" s="8">
        <v>1</v>
      </c>
      <c r="Q72" s="8">
        <v>1</v>
      </c>
      <c r="R72" s="8">
        <v>1</v>
      </c>
      <c r="S72" s="8">
        <v>1</v>
      </c>
      <c r="T72" s="8">
        <v>1</v>
      </c>
      <c r="U72" s="8">
        <v>1</v>
      </c>
      <c r="V72" s="8">
        <v>1</v>
      </c>
      <c r="W72" s="8">
        <v>1</v>
      </c>
      <c r="X72" s="47">
        <v>0</v>
      </c>
      <c r="Y72" s="86">
        <v>0</v>
      </c>
      <c r="Z72" s="8">
        <v>0</v>
      </c>
      <c r="AA72" s="9"/>
      <c r="AB72" s="9"/>
      <c r="AC72" s="9"/>
      <c r="AD72" s="9"/>
    </row>
    <row r="73" ht="16.5" spans="1:30">
      <c r="A73" s="27"/>
      <c r="B73" s="27"/>
      <c r="C73" s="28" t="s">
        <v>167</v>
      </c>
      <c r="D73" s="29"/>
      <c r="E73" s="22" t="s">
        <v>132</v>
      </c>
      <c r="F73" s="22"/>
      <c r="G73" s="8">
        <v>1</v>
      </c>
      <c r="H73" s="8">
        <v>1</v>
      </c>
      <c r="I73" s="8">
        <v>1</v>
      </c>
      <c r="J73" s="8">
        <v>1</v>
      </c>
      <c r="K73" s="8">
        <v>1</v>
      </c>
      <c r="L73" s="8">
        <v>1</v>
      </c>
      <c r="M73" s="8">
        <v>1</v>
      </c>
      <c r="N73" s="8">
        <v>1</v>
      </c>
      <c r="O73" s="8">
        <v>1</v>
      </c>
      <c r="P73" s="8">
        <v>1</v>
      </c>
      <c r="Q73" s="8">
        <v>1</v>
      </c>
      <c r="R73" s="8">
        <v>1</v>
      </c>
      <c r="S73" s="8">
        <v>1</v>
      </c>
      <c r="T73" s="8">
        <v>1</v>
      </c>
      <c r="U73" s="8">
        <v>1</v>
      </c>
      <c r="V73" s="8">
        <v>1</v>
      </c>
      <c r="W73" s="8">
        <v>1</v>
      </c>
      <c r="X73" s="47">
        <v>0</v>
      </c>
      <c r="Y73" s="86">
        <v>0</v>
      </c>
      <c r="Z73" s="8">
        <v>0</v>
      </c>
      <c r="AA73" s="9"/>
      <c r="AB73" s="9"/>
      <c r="AC73" s="9"/>
      <c r="AD73" s="9"/>
    </row>
    <row r="74" ht="16.5" spans="1:29">
      <c r="A74" s="27"/>
      <c r="B74" s="27"/>
      <c r="C74" s="28" t="s">
        <v>168</v>
      </c>
      <c r="D74" s="29"/>
      <c r="E74" s="22" t="s">
        <v>132</v>
      </c>
      <c r="F74" s="22"/>
      <c r="G74" s="8">
        <v>1</v>
      </c>
      <c r="H74" s="8">
        <v>1</v>
      </c>
      <c r="I74" s="8">
        <v>1</v>
      </c>
      <c r="J74" s="8">
        <v>1</v>
      </c>
      <c r="K74" s="8">
        <v>1</v>
      </c>
      <c r="L74" s="8">
        <v>1</v>
      </c>
      <c r="M74" s="8">
        <v>1</v>
      </c>
      <c r="N74" s="8">
        <v>1</v>
      </c>
      <c r="O74" s="8">
        <v>1</v>
      </c>
      <c r="P74" s="8">
        <v>1</v>
      </c>
      <c r="Q74" s="8">
        <v>1</v>
      </c>
      <c r="R74" s="8">
        <v>1</v>
      </c>
      <c r="S74" s="8">
        <v>1</v>
      </c>
      <c r="T74" s="8">
        <v>1</v>
      </c>
      <c r="U74" s="8">
        <v>1</v>
      </c>
      <c r="V74" s="8">
        <v>1</v>
      </c>
      <c r="W74" s="8">
        <v>1</v>
      </c>
      <c r="X74" s="47">
        <v>0</v>
      </c>
      <c r="Y74" s="86">
        <v>0</v>
      </c>
      <c r="Z74" s="8">
        <v>0</v>
      </c>
      <c r="AA74" s="9"/>
      <c r="AB74" s="9"/>
      <c r="AC74" s="9"/>
    </row>
    <row r="75" ht="16.5" spans="1:29">
      <c r="A75" s="27"/>
      <c r="B75" s="27"/>
      <c r="C75" s="28" t="s">
        <v>169</v>
      </c>
      <c r="D75" s="29"/>
      <c r="E75" s="22" t="s">
        <v>130</v>
      </c>
      <c r="F75" s="22"/>
      <c r="G75" s="8">
        <v>2</v>
      </c>
      <c r="H75" s="8">
        <v>2</v>
      </c>
      <c r="I75" s="8">
        <v>2</v>
      </c>
      <c r="J75" s="8">
        <v>2</v>
      </c>
      <c r="K75" s="8">
        <v>2</v>
      </c>
      <c r="L75" s="8">
        <v>2</v>
      </c>
      <c r="M75" s="8">
        <v>2</v>
      </c>
      <c r="N75" s="8">
        <v>2</v>
      </c>
      <c r="O75" s="8">
        <v>2</v>
      </c>
      <c r="P75" s="8">
        <v>2</v>
      </c>
      <c r="Q75" s="8">
        <v>2</v>
      </c>
      <c r="R75" s="8">
        <v>2</v>
      </c>
      <c r="S75" s="8">
        <v>2</v>
      </c>
      <c r="T75" s="8">
        <v>2</v>
      </c>
      <c r="U75" s="8">
        <v>2</v>
      </c>
      <c r="V75" s="8">
        <v>2</v>
      </c>
      <c r="W75" s="8">
        <v>2</v>
      </c>
      <c r="X75" s="47">
        <v>0</v>
      </c>
      <c r="Y75" s="86">
        <v>0</v>
      </c>
      <c r="Z75" s="8">
        <v>0</v>
      </c>
      <c r="AA75" s="9"/>
      <c r="AB75" s="9"/>
      <c r="AC75" s="9"/>
    </row>
    <row r="76" ht="16.5" spans="1:29">
      <c r="A76" s="27"/>
      <c r="B76" s="27"/>
      <c r="C76" s="28" t="s">
        <v>170</v>
      </c>
      <c r="D76" s="29"/>
      <c r="E76" s="22" t="s">
        <v>132</v>
      </c>
      <c r="F76" s="22"/>
      <c r="G76" s="8">
        <v>2</v>
      </c>
      <c r="H76" s="8">
        <v>2</v>
      </c>
      <c r="I76" s="8">
        <v>2</v>
      </c>
      <c r="J76" s="8">
        <v>2</v>
      </c>
      <c r="K76" s="8">
        <v>2</v>
      </c>
      <c r="L76" s="8">
        <v>2</v>
      </c>
      <c r="M76" s="8">
        <v>2</v>
      </c>
      <c r="N76" s="8">
        <v>2</v>
      </c>
      <c r="O76" s="8">
        <v>2</v>
      </c>
      <c r="P76" s="8">
        <v>2</v>
      </c>
      <c r="Q76" s="8">
        <v>2</v>
      </c>
      <c r="R76" s="8">
        <v>2</v>
      </c>
      <c r="S76" s="8">
        <v>2</v>
      </c>
      <c r="T76" s="8">
        <v>2</v>
      </c>
      <c r="U76" s="8">
        <v>2</v>
      </c>
      <c r="V76" s="8">
        <v>2</v>
      </c>
      <c r="W76" s="8">
        <v>2</v>
      </c>
      <c r="X76" s="47">
        <v>0</v>
      </c>
      <c r="Y76" s="86">
        <v>0</v>
      </c>
      <c r="Z76" s="8">
        <v>0</v>
      </c>
      <c r="AA76" s="9"/>
      <c r="AB76" s="9"/>
      <c r="AC76" s="9"/>
    </row>
    <row r="77" ht="16.5" spans="1:29">
      <c r="A77" s="27"/>
      <c r="B77" s="27" t="s">
        <v>90</v>
      </c>
      <c r="C77" s="28" t="s">
        <v>171</v>
      </c>
      <c r="D77" s="29"/>
      <c r="E77" s="22" t="s">
        <v>143</v>
      </c>
      <c r="F77" s="22"/>
      <c r="G77" s="8">
        <v>2</v>
      </c>
      <c r="H77" s="8">
        <v>2</v>
      </c>
      <c r="I77" s="8">
        <v>2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2</v>
      </c>
      <c r="Q77" s="8">
        <v>2</v>
      </c>
      <c r="R77" s="8">
        <v>2</v>
      </c>
      <c r="S77" s="8">
        <v>2</v>
      </c>
      <c r="T77" s="8">
        <v>2</v>
      </c>
      <c r="U77" s="8">
        <v>2</v>
      </c>
      <c r="V77" s="8">
        <v>2</v>
      </c>
      <c r="W77" s="8">
        <v>2</v>
      </c>
      <c r="X77" s="8">
        <v>2</v>
      </c>
      <c r="Y77" s="98">
        <v>0</v>
      </c>
      <c r="Z77" s="8">
        <v>0</v>
      </c>
      <c r="AA77" s="9"/>
      <c r="AB77" s="9"/>
      <c r="AC77" s="9"/>
    </row>
    <row r="78" ht="16.5" spans="1:29">
      <c r="A78" s="27"/>
      <c r="B78" s="27"/>
      <c r="C78" s="29" t="s">
        <v>172</v>
      </c>
      <c r="D78" s="74"/>
      <c r="E78" s="22" t="s">
        <v>143</v>
      </c>
      <c r="F78" s="22"/>
      <c r="G78" s="8">
        <v>3</v>
      </c>
      <c r="H78" s="8">
        <v>2</v>
      </c>
      <c r="I78" s="8">
        <v>2</v>
      </c>
      <c r="J78" s="8">
        <v>2</v>
      </c>
      <c r="K78" s="8">
        <v>2</v>
      </c>
      <c r="L78" s="8">
        <v>2</v>
      </c>
      <c r="M78" s="8">
        <v>2</v>
      </c>
      <c r="N78" s="8">
        <v>2</v>
      </c>
      <c r="O78" s="8">
        <v>2</v>
      </c>
      <c r="P78" s="8">
        <v>2</v>
      </c>
      <c r="Q78" s="8">
        <v>2</v>
      </c>
      <c r="R78" s="8">
        <v>2</v>
      </c>
      <c r="S78" s="8">
        <v>2</v>
      </c>
      <c r="T78" s="8">
        <v>2</v>
      </c>
      <c r="U78" s="8">
        <v>2</v>
      </c>
      <c r="V78" s="8">
        <v>2</v>
      </c>
      <c r="W78" s="8">
        <v>2</v>
      </c>
      <c r="X78" s="8">
        <v>2</v>
      </c>
      <c r="Y78" s="98">
        <v>0</v>
      </c>
      <c r="Z78" s="8">
        <v>0</v>
      </c>
      <c r="AA78" s="9"/>
      <c r="AB78" s="9"/>
      <c r="AC78" s="9"/>
    </row>
    <row r="79" ht="17.25" spans="1:29">
      <c r="A79" s="27"/>
      <c r="B79" s="27"/>
      <c r="C79" s="76"/>
      <c r="D79" s="76"/>
      <c r="E79" s="22"/>
      <c r="F79" s="22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9">
        <v>1</v>
      </c>
      <c r="Z79" s="8"/>
      <c r="AA79" s="9"/>
      <c r="AB79" s="9"/>
      <c r="AC79" s="9"/>
    </row>
    <row r="80" ht="16.5" spans="1:29">
      <c r="A80" s="27"/>
      <c r="B80" s="27"/>
      <c r="C80" s="28" t="s">
        <v>173</v>
      </c>
      <c r="D80" s="29"/>
      <c r="E80" s="22" t="s">
        <v>32</v>
      </c>
      <c r="F80" s="22"/>
      <c r="G80" s="8">
        <v>2</v>
      </c>
      <c r="H80" s="8">
        <v>2</v>
      </c>
      <c r="I80" s="8">
        <v>2</v>
      </c>
      <c r="J80" s="8">
        <v>2</v>
      </c>
      <c r="K80" s="8">
        <v>2</v>
      </c>
      <c r="L80" s="8">
        <v>2</v>
      </c>
      <c r="M80" s="8">
        <v>2</v>
      </c>
      <c r="N80" s="8">
        <v>2</v>
      </c>
      <c r="O80" s="8">
        <v>2</v>
      </c>
      <c r="P80" s="8">
        <v>2</v>
      </c>
      <c r="Q80" s="8">
        <v>2</v>
      </c>
      <c r="R80" s="8">
        <v>2</v>
      </c>
      <c r="S80" s="8">
        <v>2</v>
      </c>
      <c r="T80" s="8">
        <v>2</v>
      </c>
      <c r="U80" s="8">
        <v>2</v>
      </c>
      <c r="V80" s="8">
        <v>2</v>
      </c>
      <c r="W80" s="8">
        <v>2</v>
      </c>
      <c r="X80" s="8">
        <v>2</v>
      </c>
      <c r="Y80" s="98">
        <v>0</v>
      </c>
      <c r="Z80" s="8">
        <v>0</v>
      </c>
      <c r="AA80" s="9"/>
      <c r="AB80" s="9"/>
      <c r="AC80" s="9"/>
    </row>
    <row r="81" ht="16.5" spans="1:29">
      <c r="A81" s="27"/>
      <c r="B81" s="27"/>
      <c r="C81" s="28" t="s">
        <v>174</v>
      </c>
      <c r="D81" s="29"/>
      <c r="E81" s="22" t="s">
        <v>143</v>
      </c>
      <c r="F81" s="22"/>
      <c r="G81" s="8">
        <v>1</v>
      </c>
      <c r="H81" s="8">
        <v>1</v>
      </c>
      <c r="I81" s="8">
        <v>1</v>
      </c>
      <c r="J81" s="8">
        <v>1</v>
      </c>
      <c r="K81" s="8">
        <v>1</v>
      </c>
      <c r="L81" s="8">
        <v>1</v>
      </c>
      <c r="M81" s="8">
        <v>1</v>
      </c>
      <c r="N81" s="8">
        <v>1</v>
      </c>
      <c r="O81" s="8">
        <v>1</v>
      </c>
      <c r="P81" s="8">
        <v>1</v>
      </c>
      <c r="Q81" s="8">
        <v>1</v>
      </c>
      <c r="R81" s="8">
        <v>1</v>
      </c>
      <c r="S81" s="8">
        <v>1</v>
      </c>
      <c r="T81" s="8">
        <v>1</v>
      </c>
      <c r="U81" s="8">
        <v>1</v>
      </c>
      <c r="V81" s="8">
        <v>1</v>
      </c>
      <c r="W81" s="8">
        <v>1</v>
      </c>
      <c r="X81" s="8">
        <v>1</v>
      </c>
      <c r="Y81" s="98">
        <v>0</v>
      </c>
      <c r="Z81" s="8">
        <v>0</v>
      </c>
      <c r="AA81" s="9"/>
      <c r="AB81" s="9"/>
      <c r="AC81" s="9"/>
    </row>
    <row r="82" ht="16.5" spans="1:29">
      <c r="A82" s="27"/>
      <c r="B82" s="27"/>
      <c r="C82" s="28" t="s">
        <v>175</v>
      </c>
      <c r="D82" s="29"/>
      <c r="E82" s="22" t="s">
        <v>32</v>
      </c>
      <c r="F82" s="22"/>
      <c r="G82" s="8">
        <v>1</v>
      </c>
      <c r="H82" s="8">
        <v>1</v>
      </c>
      <c r="I82" s="8">
        <v>1</v>
      </c>
      <c r="J82" s="8">
        <v>1</v>
      </c>
      <c r="K82" s="8">
        <v>1</v>
      </c>
      <c r="L82" s="8">
        <v>1</v>
      </c>
      <c r="M82" s="8">
        <v>1</v>
      </c>
      <c r="N82" s="8">
        <v>1</v>
      </c>
      <c r="O82" s="8">
        <v>1</v>
      </c>
      <c r="P82" s="8">
        <v>1</v>
      </c>
      <c r="Q82" s="8">
        <v>1</v>
      </c>
      <c r="R82" s="8">
        <v>1</v>
      </c>
      <c r="S82" s="8">
        <v>1</v>
      </c>
      <c r="T82" s="8">
        <v>1</v>
      </c>
      <c r="U82" s="8">
        <v>1</v>
      </c>
      <c r="V82" s="8">
        <v>1</v>
      </c>
      <c r="W82" s="8">
        <v>1</v>
      </c>
      <c r="X82" s="8">
        <v>1</v>
      </c>
      <c r="Y82" s="98">
        <v>0</v>
      </c>
      <c r="Z82" s="8">
        <v>0</v>
      </c>
      <c r="AA82" s="9"/>
      <c r="AB82" s="9"/>
      <c r="AC82" s="9"/>
    </row>
    <row r="83" ht="16.5" spans="1:29">
      <c r="A83" s="27"/>
      <c r="B83" s="27"/>
      <c r="C83" s="28" t="s">
        <v>176</v>
      </c>
      <c r="D83" s="29"/>
      <c r="E83" s="22" t="s">
        <v>32</v>
      </c>
      <c r="F83" s="22"/>
      <c r="G83" s="8">
        <v>1</v>
      </c>
      <c r="H83" s="8">
        <v>1</v>
      </c>
      <c r="I83" s="8">
        <v>1</v>
      </c>
      <c r="J83" s="8">
        <v>1</v>
      </c>
      <c r="K83" s="8">
        <v>1</v>
      </c>
      <c r="L83" s="8">
        <v>1</v>
      </c>
      <c r="M83" s="8">
        <v>1</v>
      </c>
      <c r="N83" s="8">
        <v>1</v>
      </c>
      <c r="O83" s="8">
        <v>1</v>
      </c>
      <c r="P83" s="8">
        <v>1</v>
      </c>
      <c r="Q83" s="8">
        <v>1</v>
      </c>
      <c r="R83" s="8">
        <v>1</v>
      </c>
      <c r="S83" s="8">
        <v>1</v>
      </c>
      <c r="T83" s="8">
        <v>1</v>
      </c>
      <c r="U83" s="8">
        <v>1</v>
      </c>
      <c r="V83" s="8">
        <v>1</v>
      </c>
      <c r="W83" s="8">
        <v>1</v>
      </c>
      <c r="X83" s="8">
        <v>1</v>
      </c>
      <c r="Y83" s="98">
        <v>0</v>
      </c>
      <c r="Z83" s="8">
        <v>0</v>
      </c>
      <c r="AA83" s="9"/>
      <c r="AB83" s="9"/>
      <c r="AC83" s="9"/>
    </row>
    <row r="84" ht="16.5" spans="1:29">
      <c r="A84" s="27"/>
      <c r="B84" s="27"/>
      <c r="C84" s="28" t="s">
        <v>177</v>
      </c>
      <c r="D84" s="29"/>
      <c r="E84" s="22" t="s">
        <v>32</v>
      </c>
      <c r="F84" s="22"/>
      <c r="G84" s="8">
        <v>1</v>
      </c>
      <c r="H84" s="8">
        <v>1</v>
      </c>
      <c r="I84" s="8">
        <v>1</v>
      </c>
      <c r="J84" s="8">
        <v>1</v>
      </c>
      <c r="K84" s="8">
        <v>1</v>
      </c>
      <c r="L84" s="8">
        <v>1</v>
      </c>
      <c r="M84" s="8">
        <v>1</v>
      </c>
      <c r="N84" s="8">
        <v>1</v>
      </c>
      <c r="O84" s="8">
        <v>1</v>
      </c>
      <c r="P84" s="8">
        <v>1</v>
      </c>
      <c r="Q84" s="8">
        <v>1</v>
      </c>
      <c r="R84" s="8">
        <v>1</v>
      </c>
      <c r="S84" s="8">
        <v>1</v>
      </c>
      <c r="T84" s="8">
        <v>1</v>
      </c>
      <c r="U84" s="8">
        <v>1</v>
      </c>
      <c r="V84" s="8">
        <v>1</v>
      </c>
      <c r="W84" s="8">
        <v>1</v>
      </c>
      <c r="X84" s="8">
        <v>1</v>
      </c>
      <c r="Y84" s="98">
        <v>0</v>
      </c>
      <c r="Z84" s="8">
        <v>0</v>
      </c>
      <c r="AA84" s="9"/>
      <c r="AB84" s="9"/>
      <c r="AC84" s="9"/>
    </row>
    <row r="85" ht="16.5" spans="1:29">
      <c r="A85" s="27"/>
      <c r="B85" s="27"/>
      <c r="C85" s="28" t="s">
        <v>178</v>
      </c>
      <c r="D85" s="29"/>
      <c r="E85" s="22" t="s">
        <v>32</v>
      </c>
      <c r="F85" s="22"/>
      <c r="G85" s="8">
        <v>2</v>
      </c>
      <c r="H85" s="8">
        <v>2</v>
      </c>
      <c r="I85" s="8">
        <v>2</v>
      </c>
      <c r="J85" s="8">
        <v>2</v>
      </c>
      <c r="K85" s="8">
        <v>2</v>
      </c>
      <c r="L85" s="8">
        <v>2</v>
      </c>
      <c r="M85" s="8">
        <v>2</v>
      </c>
      <c r="N85" s="8">
        <v>2</v>
      </c>
      <c r="O85" s="8">
        <v>2</v>
      </c>
      <c r="P85" s="8">
        <v>2</v>
      </c>
      <c r="Q85" s="8">
        <v>2</v>
      </c>
      <c r="R85" s="8">
        <v>2</v>
      </c>
      <c r="S85" s="8">
        <v>2</v>
      </c>
      <c r="T85" s="8">
        <v>2</v>
      </c>
      <c r="U85" s="8">
        <v>2</v>
      </c>
      <c r="V85" s="8">
        <v>2</v>
      </c>
      <c r="W85" s="8">
        <v>2</v>
      </c>
      <c r="X85" s="8">
        <v>2</v>
      </c>
      <c r="Y85" s="98">
        <v>0</v>
      </c>
      <c r="Z85" s="8">
        <v>0</v>
      </c>
      <c r="AA85" s="9"/>
      <c r="AB85" s="9"/>
      <c r="AC85" s="9"/>
    </row>
    <row r="86" ht="16.5" spans="1:29">
      <c r="A86" s="27"/>
      <c r="B86" s="27"/>
      <c r="C86" s="28" t="s">
        <v>179</v>
      </c>
      <c r="D86" s="29"/>
      <c r="E86" s="22" t="s">
        <v>32</v>
      </c>
      <c r="F86" s="22"/>
      <c r="G86" s="8">
        <v>2</v>
      </c>
      <c r="H86" s="8">
        <v>2</v>
      </c>
      <c r="I86" s="8">
        <v>2</v>
      </c>
      <c r="J86" s="8">
        <v>2</v>
      </c>
      <c r="K86" s="8">
        <v>2</v>
      </c>
      <c r="L86" s="8">
        <v>2</v>
      </c>
      <c r="M86" s="8">
        <v>2</v>
      </c>
      <c r="N86" s="8">
        <v>2</v>
      </c>
      <c r="O86" s="8">
        <v>2</v>
      </c>
      <c r="P86" s="8">
        <v>2</v>
      </c>
      <c r="Q86" s="8">
        <v>2</v>
      </c>
      <c r="R86" s="8">
        <v>2</v>
      </c>
      <c r="S86" s="8">
        <v>2</v>
      </c>
      <c r="T86" s="8">
        <v>2</v>
      </c>
      <c r="U86" s="8">
        <v>2</v>
      </c>
      <c r="V86" s="8">
        <v>2</v>
      </c>
      <c r="W86" s="8">
        <v>2</v>
      </c>
      <c r="X86" s="8">
        <v>2</v>
      </c>
      <c r="Y86" s="98">
        <v>0</v>
      </c>
      <c r="Z86" s="8">
        <v>0</v>
      </c>
      <c r="AA86" s="9"/>
      <c r="AB86" s="9"/>
      <c r="AC86" s="9"/>
    </row>
    <row r="87" ht="16.5" spans="1:29">
      <c r="A87" s="87"/>
      <c r="B87" s="27" t="s">
        <v>102</v>
      </c>
      <c r="C87" s="28" t="s">
        <v>180</v>
      </c>
      <c r="D87" s="29"/>
      <c r="E87" s="22" t="s">
        <v>130</v>
      </c>
      <c r="F87" s="22"/>
      <c r="G87" s="8">
        <v>2</v>
      </c>
      <c r="H87" s="8">
        <v>2</v>
      </c>
      <c r="I87" s="8">
        <v>2</v>
      </c>
      <c r="J87" s="8">
        <v>2</v>
      </c>
      <c r="K87" s="8">
        <v>2</v>
      </c>
      <c r="L87" s="8">
        <v>2</v>
      </c>
      <c r="M87" s="8">
        <v>2</v>
      </c>
      <c r="N87" s="8">
        <v>2</v>
      </c>
      <c r="O87" s="8">
        <v>2</v>
      </c>
      <c r="P87" s="8">
        <v>2</v>
      </c>
      <c r="Q87" s="8">
        <v>2</v>
      </c>
      <c r="R87" s="8">
        <v>2</v>
      </c>
      <c r="S87" s="8">
        <v>2</v>
      </c>
      <c r="T87" s="8">
        <v>2</v>
      </c>
      <c r="U87" s="8">
        <v>2</v>
      </c>
      <c r="V87" s="8">
        <v>2</v>
      </c>
      <c r="W87" s="8">
        <v>2</v>
      </c>
      <c r="X87" s="8">
        <v>2</v>
      </c>
      <c r="Y87" s="8">
        <v>2</v>
      </c>
      <c r="Z87" s="47">
        <v>0</v>
      </c>
      <c r="AA87" s="9"/>
      <c r="AB87" s="9"/>
      <c r="AC87" s="9"/>
    </row>
    <row r="88" ht="16.5" spans="1:29">
      <c r="A88" s="87"/>
      <c r="B88" s="27"/>
      <c r="C88" s="29" t="s">
        <v>181</v>
      </c>
      <c r="D88" s="74"/>
      <c r="E88" s="22" t="s">
        <v>130</v>
      </c>
      <c r="F88" s="22"/>
      <c r="G88" s="8">
        <v>2</v>
      </c>
      <c r="H88" s="8">
        <v>2</v>
      </c>
      <c r="I88" s="8">
        <v>2</v>
      </c>
      <c r="J88" s="8">
        <v>2</v>
      </c>
      <c r="K88" s="8">
        <v>2</v>
      </c>
      <c r="L88" s="8">
        <v>2</v>
      </c>
      <c r="M88" s="8">
        <v>2</v>
      </c>
      <c r="N88" s="8">
        <v>2</v>
      </c>
      <c r="O88" s="8">
        <v>2</v>
      </c>
      <c r="P88" s="8">
        <v>2</v>
      </c>
      <c r="Q88" s="8">
        <v>2</v>
      </c>
      <c r="R88" s="8">
        <v>2</v>
      </c>
      <c r="S88" s="8">
        <v>2</v>
      </c>
      <c r="T88" s="8">
        <v>2</v>
      </c>
      <c r="U88" s="8">
        <v>2</v>
      </c>
      <c r="V88" s="8">
        <v>2</v>
      </c>
      <c r="W88" s="8">
        <v>2</v>
      </c>
      <c r="X88" s="8">
        <v>2</v>
      </c>
      <c r="Y88" s="8">
        <v>2</v>
      </c>
      <c r="Z88" s="47">
        <v>0</v>
      </c>
      <c r="AA88" s="9"/>
      <c r="AC88" s="9"/>
    </row>
    <row r="89" ht="16.5" spans="1:29">
      <c r="A89" s="87"/>
      <c r="B89" s="27"/>
      <c r="C89" s="28" t="s">
        <v>182</v>
      </c>
      <c r="D89" s="29"/>
      <c r="E89" s="22" t="s">
        <v>27</v>
      </c>
      <c r="F89" s="22"/>
      <c r="G89" s="8">
        <v>2</v>
      </c>
      <c r="H89" s="8">
        <v>2</v>
      </c>
      <c r="I89" s="8">
        <v>2</v>
      </c>
      <c r="J89" s="8">
        <v>2</v>
      </c>
      <c r="K89" s="8">
        <v>2</v>
      </c>
      <c r="L89" s="8">
        <v>2</v>
      </c>
      <c r="M89" s="8">
        <v>2</v>
      </c>
      <c r="N89" s="8">
        <v>2</v>
      </c>
      <c r="O89" s="8">
        <v>2</v>
      </c>
      <c r="P89" s="8">
        <v>2</v>
      </c>
      <c r="Q89" s="8">
        <v>2</v>
      </c>
      <c r="R89" s="8">
        <v>2</v>
      </c>
      <c r="S89" s="8">
        <v>2</v>
      </c>
      <c r="T89" s="8">
        <v>2</v>
      </c>
      <c r="U89" s="8">
        <v>2</v>
      </c>
      <c r="V89" s="8">
        <v>2</v>
      </c>
      <c r="W89" s="8">
        <v>2</v>
      </c>
      <c r="X89" s="8">
        <v>2</v>
      </c>
      <c r="Y89" s="8">
        <v>2</v>
      </c>
      <c r="Z89" s="47">
        <v>0</v>
      </c>
      <c r="AA89" s="9"/>
      <c r="AB89" s="9"/>
      <c r="AC89" s="9"/>
    </row>
    <row r="90" ht="16.5" spans="1:29">
      <c r="A90" s="87"/>
      <c r="B90" s="27"/>
      <c r="C90" s="28" t="s">
        <v>183</v>
      </c>
      <c r="D90" s="29"/>
      <c r="E90" s="22" t="s">
        <v>132</v>
      </c>
      <c r="F90" s="22"/>
      <c r="G90" s="8">
        <v>1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  <c r="M90" s="8">
        <v>1</v>
      </c>
      <c r="N90" s="8">
        <v>1</v>
      </c>
      <c r="O90" s="8">
        <v>1</v>
      </c>
      <c r="P90" s="8">
        <v>1</v>
      </c>
      <c r="Q90" s="8">
        <v>1</v>
      </c>
      <c r="R90" s="8">
        <v>1</v>
      </c>
      <c r="S90" s="8">
        <v>1</v>
      </c>
      <c r="T90" s="8">
        <v>1</v>
      </c>
      <c r="U90" s="8">
        <v>1</v>
      </c>
      <c r="V90" s="8">
        <v>1</v>
      </c>
      <c r="W90" s="8">
        <v>1</v>
      </c>
      <c r="X90" s="8">
        <v>1</v>
      </c>
      <c r="Y90" s="8">
        <v>1</v>
      </c>
      <c r="Z90" s="47">
        <v>0</v>
      </c>
      <c r="AA90" s="9"/>
      <c r="AB90" s="9"/>
      <c r="AC90" s="9"/>
    </row>
    <row r="91" ht="16.5" spans="1:29">
      <c r="A91" s="87"/>
      <c r="B91" s="27"/>
      <c r="C91" s="28" t="s">
        <v>184</v>
      </c>
      <c r="D91" s="29"/>
      <c r="E91" s="22" t="s">
        <v>132</v>
      </c>
      <c r="F91" s="22"/>
      <c r="G91" s="8">
        <v>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  <c r="M91" s="8">
        <v>1</v>
      </c>
      <c r="N91" s="8">
        <v>1</v>
      </c>
      <c r="O91" s="8">
        <v>1</v>
      </c>
      <c r="P91" s="8">
        <v>1</v>
      </c>
      <c r="Q91" s="8">
        <v>1</v>
      </c>
      <c r="R91" s="8">
        <v>1</v>
      </c>
      <c r="S91" s="8">
        <v>1</v>
      </c>
      <c r="T91" s="8">
        <v>1</v>
      </c>
      <c r="U91" s="8">
        <v>1</v>
      </c>
      <c r="V91" s="8">
        <v>1</v>
      </c>
      <c r="W91" s="8">
        <v>1</v>
      </c>
      <c r="X91" s="8">
        <v>1</v>
      </c>
      <c r="Y91" s="8">
        <v>1</v>
      </c>
      <c r="Z91" s="47">
        <v>0</v>
      </c>
      <c r="AA91" s="9"/>
      <c r="AC91" s="9"/>
    </row>
    <row r="92" ht="16.5" spans="1:29">
      <c r="A92" s="87"/>
      <c r="B92" s="27"/>
      <c r="C92" s="28" t="s">
        <v>185</v>
      </c>
      <c r="D92" s="29"/>
      <c r="E92" s="22" t="s">
        <v>132</v>
      </c>
      <c r="F92" s="22"/>
      <c r="G92" s="8">
        <v>1</v>
      </c>
      <c r="H92" s="8">
        <v>1</v>
      </c>
      <c r="I92" s="8">
        <v>1</v>
      </c>
      <c r="J92" s="8">
        <v>1</v>
      </c>
      <c r="K92" s="8">
        <v>1</v>
      </c>
      <c r="L92" s="8">
        <v>1</v>
      </c>
      <c r="M92" s="8">
        <v>1</v>
      </c>
      <c r="N92" s="8">
        <v>1</v>
      </c>
      <c r="O92" s="8">
        <v>1</v>
      </c>
      <c r="P92" s="8">
        <v>1</v>
      </c>
      <c r="Q92" s="8">
        <v>1</v>
      </c>
      <c r="R92" s="8">
        <v>1</v>
      </c>
      <c r="S92" s="8">
        <v>1</v>
      </c>
      <c r="T92" s="8">
        <v>1</v>
      </c>
      <c r="U92" s="8">
        <v>1</v>
      </c>
      <c r="V92" s="8">
        <v>1</v>
      </c>
      <c r="W92" s="8">
        <v>1</v>
      </c>
      <c r="X92" s="8">
        <v>1</v>
      </c>
      <c r="Y92" s="8">
        <v>1</v>
      </c>
      <c r="Z92" s="47">
        <v>0</v>
      </c>
      <c r="AA92" s="9"/>
      <c r="AB92" s="9"/>
      <c r="AC92" s="9"/>
    </row>
    <row r="93" ht="16.5" spans="1:29">
      <c r="A93" s="87"/>
      <c r="B93" s="27"/>
      <c r="C93" s="28" t="s">
        <v>186</v>
      </c>
      <c r="D93" s="29"/>
      <c r="E93" s="22" t="s">
        <v>132</v>
      </c>
      <c r="F93" s="22"/>
      <c r="G93" s="8">
        <v>1</v>
      </c>
      <c r="H93" s="8">
        <v>1</v>
      </c>
      <c r="I93" s="8">
        <v>1</v>
      </c>
      <c r="J93" s="8">
        <v>1</v>
      </c>
      <c r="K93" s="8">
        <v>1</v>
      </c>
      <c r="L93" s="8">
        <v>1</v>
      </c>
      <c r="M93" s="8">
        <v>1</v>
      </c>
      <c r="N93" s="8">
        <v>1</v>
      </c>
      <c r="O93" s="8">
        <v>1</v>
      </c>
      <c r="P93" s="8">
        <v>1</v>
      </c>
      <c r="Q93" s="8">
        <v>1</v>
      </c>
      <c r="R93" s="8">
        <v>1</v>
      </c>
      <c r="S93" s="8">
        <v>1</v>
      </c>
      <c r="T93" s="8">
        <v>1</v>
      </c>
      <c r="U93" s="8">
        <v>1</v>
      </c>
      <c r="V93" s="8">
        <v>1</v>
      </c>
      <c r="W93" s="8">
        <v>1</v>
      </c>
      <c r="X93" s="8">
        <v>1</v>
      </c>
      <c r="Y93" s="8">
        <v>1</v>
      </c>
      <c r="Z93" s="47">
        <v>0</v>
      </c>
      <c r="AA93" s="9"/>
      <c r="AB93" s="9"/>
      <c r="AC93" s="9"/>
    </row>
    <row r="94" ht="16.5" spans="1:29">
      <c r="A94" s="87"/>
      <c r="B94" s="27"/>
      <c r="C94" s="28" t="s">
        <v>187</v>
      </c>
      <c r="D94" s="29"/>
      <c r="E94" s="22" t="s">
        <v>130</v>
      </c>
      <c r="F94" s="22"/>
      <c r="G94" s="8">
        <v>2</v>
      </c>
      <c r="H94" s="8">
        <v>2</v>
      </c>
      <c r="I94" s="8">
        <v>2</v>
      </c>
      <c r="J94" s="8">
        <v>2</v>
      </c>
      <c r="K94" s="8">
        <v>2</v>
      </c>
      <c r="L94" s="8">
        <v>2</v>
      </c>
      <c r="M94" s="8">
        <v>2</v>
      </c>
      <c r="N94" s="8">
        <v>2</v>
      </c>
      <c r="O94" s="8">
        <v>2</v>
      </c>
      <c r="P94" s="8">
        <v>2</v>
      </c>
      <c r="Q94" s="8">
        <v>2</v>
      </c>
      <c r="R94" s="8">
        <v>2</v>
      </c>
      <c r="S94" s="8">
        <v>2</v>
      </c>
      <c r="T94" s="8">
        <v>2</v>
      </c>
      <c r="U94" s="8">
        <v>2</v>
      </c>
      <c r="V94" s="8">
        <v>2</v>
      </c>
      <c r="W94" s="8">
        <v>2</v>
      </c>
      <c r="X94" s="8">
        <v>2</v>
      </c>
      <c r="Y94" s="8">
        <v>2</v>
      </c>
      <c r="Z94" s="47">
        <v>0</v>
      </c>
      <c r="AA94" s="9"/>
      <c r="AB94" s="9"/>
      <c r="AC94" s="9"/>
    </row>
    <row r="95" ht="16.5" spans="1:29">
      <c r="A95" s="87"/>
      <c r="B95" s="27"/>
      <c r="C95" s="28" t="s">
        <v>188</v>
      </c>
      <c r="D95" s="29"/>
      <c r="E95" s="22" t="s">
        <v>132</v>
      </c>
      <c r="F95" s="22"/>
      <c r="G95" s="8">
        <v>2</v>
      </c>
      <c r="H95" s="8">
        <v>2</v>
      </c>
      <c r="I95" s="8">
        <v>2</v>
      </c>
      <c r="J95" s="8">
        <v>2</v>
      </c>
      <c r="K95" s="8">
        <v>2</v>
      </c>
      <c r="L95" s="8">
        <v>2</v>
      </c>
      <c r="M95" s="8">
        <v>2</v>
      </c>
      <c r="N95" s="8">
        <v>2</v>
      </c>
      <c r="O95" s="8">
        <v>2</v>
      </c>
      <c r="P95" s="8">
        <v>2</v>
      </c>
      <c r="Q95" s="8">
        <v>2</v>
      </c>
      <c r="R95" s="8">
        <v>2</v>
      </c>
      <c r="S95" s="8">
        <v>2</v>
      </c>
      <c r="T95" s="8">
        <v>2</v>
      </c>
      <c r="U95" s="8">
        <v>2</v>
      </c>
      <c r="V95" s="8">
        <v>2</v>
      </c>
      <c r="W95" s="8">
        <v>2</v>
      </c>
      <c r="X95" s="8">
        <v>2</v>
      </c>
      <c r="Y95" s="8">
        <v>2</v>
      </c>
      <c r="Z95" s="47">
        <v>0</v>
      </c>
      <c r="AA95" s="9"/>
      <c r="AB95" s="9"/>
      <c r="AC95" s="9"/>
    </row>
    <row r="96" ht="16.5" spans="1:29">
      <c r="A96" s="27"/>
      <c r="B96" s="88" t="s">
        <v>189</v>
      </c>
      <c r="C96" s="44" t="s">
        <v>190</v>
      </c>
      <c r="D96" s="29"/>
      <c r="E96" s="30" t="s">
        <v>25</v>
      </c>
      <c r="F96" s="31"/>
      <c r="G96" s="8">
        <v>5</v>
      </c>
      <c r="H96" s="8">
        <v>5</v>
      </c>
      <c r="I96" s="8">
        <v>5</v>
      </c>
      <c r="J96" s="8">
        <v>5</v>
      </c>
      <c r="K96" s="8">
        <v>5</v>
      </c>
      <c r="L96" s="8">
        <v>5</v>
      </c>
      <c r="M96" s="8">
        <v>5</v>
      </c>
      <c r="N96" s="8">
        <v>5</v>
      </c>
      <c r="O96" s="8">
        <v>5</v>
      </c>
      <c r="P96" s="8">
        <v>5</v>
      </c>
      <c r="Q96" s="8">
        <v>5</v>
      </c>
      <c r="R96" s="8">
        <v>5</v>
      </c>
      <c r="S96" s="8">
        <v>5</v>
      </c>
      <c r="T96" s="8">
        <v>5</v>
      </c>
      <c r="U96" s="8">
        <v>5</v>
      </c>
      <c r="V96" s="8">
        <v>5</v>
      </c>
      <c r="W96" s="8">
        <v>5</v>
      </c>
      <c r="X96" s="8">
        <v>5</v>
      </c>
      <c r="Y96" s="8">
        <v>5</v>
      </c>
      <c r="Z96" s="47">
        <v>0</v>
      </c>
      <c r="AA96" s="9"/>
      <c r="AB96" s="9"/>
      <c r="AC96" s="9"/>
    </row>
    <row r="97" ht="16.5" spans="1:30">
      <c r="A97" s="27"/>
      <c r="B97" s="89"/>
      <c r="C97" s="44" t="s">
        <v>191</v>
      </c>
      <c r="D97" s="29"/>
      <c r="E97" s="30" t="s">
        <v>25</v>
      </c>
      <c r="F97" s="31"/>
      <c r="G97" s="8">
        <v>5</v>
      </c>
      <c r="H97" s="8">
        <v>5</v>
      </c>
      <c r="I97" s="8">
        <v>5</v>
      </c>
      <c r="J97" s="8">
        <v>5</v>
      </c>
      <c r="K97" s="8">
        <v>5</v>
      </c>
      <c r="L97" s="8">
        <v>5</v>
      </c>
      <c r="M97" s="8">
        <v>5</v>
      </c>
      <c r="N97" s="8">
        <v>5</v>
      </c>
      <c r="O97" s="8">
        <v>5</v>
      </c>
      <c r="P97" s="8">
        <v>5</v>
      </c>
      <c r="Q97" s="8">
        <v>5</v>
      </c>
      <c r="R97" s="8">
        <v>5</v>
      </c>
      <c r="S97" s="8">
        <v>5</v>
      </c>
      <c r="T97" s="8">
        <v>5</v>
      </c>
      <c r="U97" s="8">
        <v>5</v>
      </c>
      <c r="V97" s="8">
        <v>5</v>
      </c>
      <c r="W97" s="8">
        <v>5</v>
      </c>
      <c r="X97" s="8">
        <v>5</v>
      </c>
      <c r="Y97" s="8">
        <v>5</v>
      </c>
      <c r="Z97" s="47">
        <v>0</v>
      </c>
      <c r="AA97" s="9"/>
      <c r="AB97" s="9"/>
      <c r="AC97" s="9"/>
      <c r="AD97" s="9"/>
    </row>
    <row r="98" ht="16.5" spans="1:30">
      <c r="A98" s="27"/>
      <c r="B98" s="90" t="s">
        <v>19</v>
      </c>
      <c r="C98" s="91"/>
      <c r="D98" s="92"/>
      <c r="E98" s="64" t="s">
        <v>12</v>
      </c>
      <c r="F98" s="65"/>
      <c r="G98" s="30">
        <f>SUM(G16:G97)</f>
        <v>170</v>
      </c>
      <c r="H98" s="31"/>
      <c r="I98" s="8">
        <f>SUM(I16:I97)</f>
        <v>180</v>
      </c>
      <c r="J98" s="8">
        <f>SUM(J16:J97)</f>
        <v>170</v>
      </c>
      <c r="K98" s="8">
        <f>SUM(K16:K97)</f>
        <v>162</v>
      </c>
      <c r="L98" s="8">
        <f>SUM(L16:L97)</f>
        <v>158</v>
      </c>
      <c r="M98" s="8">
        <f>SUM(M16:M97)</f>
        <v>145</v>
      </c>
      <c r="N98" s="8">
        <f>SUM(N16:N97)-6</f>
        <v>137</v>
      </c>
      <c r="O98" s="8">
        <f>SUM(O16:O97)-O34-O38-O40</f>
        <v>129</v>
      </c>
      <c r="P98" s="8">
        <f>SUM(P16:P97)</f>
        <v>119</v>
      </c>
      <c r="Q98" s="8">
        <f>SUM(Q16:Q97)-Q46</f>
        <v>113</v>
      </c>
      <c r="R98" s="8">
        <f>SUM(R16:R97)</f>
        <v>103</v>
      </c>
      <c r="S98" s="8">
        <f>SUM(S16:S97)</f>
        <v>90</v>
      </c>
      <c r="T98" s="8">
        <f>SUM(T16:T97)-T55-T58</f>
        <v>77</v>
      </c>
      <c r="U98" s="8">
        <f t="shared" ref="U98:Z98" si="0">SUM(U16:U97)</f>
        <v>71</v>
      </c>
      <c r="V98" s="8">
        <f t="shared" si="0"/>
        <v>62</v>
      </c>
      <c r="W98" s="8">
        <f t="shared" si="0"/>
        <v>52</v>
      </c>
      <c r="X98" s="8">
        <f t="shared" si="0"/>
        <v>38</v>
      </c>
      <c r="Y98" s="86">
        <f t="shared" si="0"/>
        <v>25</v>
      </c>
      <c r="Z98" s="8">
        <f t="shared" si="0"/>
        <v>0</v>
      </c>
      <c r="AA98" s="9"/>
      <c r="AB98" s="9"/>
      <c r="AC98" s="9"/>
      <c r="AD98" s="9"/>
    </row>
    <row r="99" ht="16.5" spans="1:30">
      <c r="A99" s="27"/>
      <c r="B99" s="93"/>
      <c r="C99" s="94"/>
      <c r="D99" s="95"/>
      <c r="E99" s="64" t="s">
        <v>13</v>
      </c>
      <c r="F99" s="65"/>
      <c r="G99" s="96">
        <f>SUM(H16:H97)</f>
        <v>180</v>
      </c>
      <c r="H99" s="31"/>
      <c r="I99" s="8">
        <f t="shared" ref="I99:Z99" si="1">SUM(I16:I97)</f>
        <v>180</v>
      </c>
      <c r="J99" s="8">
        <f t="shared" si="1"/>
        <v>170</v>
      </c>
      <c r="K99" s="8">
        <f t="shared" si="1"/>
        <v>162</v>
      </c>
      <c r="L99" s="8">
        <f>SUM(L16:L97)-L21-L23</f>
        <v>156</v>
      </c>
      <c r="M99" s="8">
        <f>SUM(M16:M97)-M26+N32</f>
        <v>150</v>
      </c>
      <c r="N99" s="8">
        <f>SUM(N16:N97)-N32</f>
        <v>137</v>
      </c>
      <c r="O99" s="8">
        <f>SUM(O16:O97)-O34-O38-O40</f>
        <v>129</v>
      </c>
      <c r="P99" s="8">
        <f>SUM(P16:P97)</f>
        <v>119</v>
      </c>
      <c r="Q99" s="8">
        <f>SUM(Q16:Q97)-Q46</f>
        <v>113</v>
      </c>
      <c r="R99" s="8">
        <f t="shared" si="1"/>
        <v>103</v>
      </c>
      <c r="S99" s="8">
        <f>SUM(S16:S97)+T55+T58</f>
        <v>92</v>
      </c>
      <c r="T99" s="8">
        <f>SUM(T16:T97)-T58-T55</f>
        <v>77</v>
      </c>
      <c r="U99" s="8">
        <f t="shared" si="1"/>
        <v>71</v>
      </c>
      <c r="V99" s="8">
        <f t="shared" si="1"/>
        <v>62</v>
      </c>
      <c r="W99" s="8">
        <f t="shared" si="1"/>
        <v>52</v>
      </c>
      <c r="X99" s="8">
        <f t="shared" si="1"/>
        <v>38</v>
      </c>
      <c r="Y99" s="86">
        <f>SUM(Y16:Y97)-Y79</f>
        <v>24</v>
      </c>
      <c r="Z99" s="8">
        <f t="shared" si="1"/>
        <v>0</v>
      </c>
      <c r="AA99" s="9"/>
      <c r="AB99" s="9"/>
      <c r="AC99" s="9"/>
      <c r="AD99" s="9"/>
    </row>
    <row r="100" ht="16.5" spans="1:30">
      <c r="A100" s="58"/>
      <c r="AA100" s="9"/>
      <c r="AB100" s="9"/>
      <c r="AC100" s="9"/>
      <c r="AD100" s="9"/>
    </row>
    <row r="123" spans="3:4">
      <c r="C123" s="97"/>
      <c r="D123" s="97"/>
    </row>
  </sheetData>
  <mergeCells count="189">
    <mergeCell ref="A1:B1"/>
    <mergeCell ref="A2:B2"/>
    <mergeCell ref="F2:G2"/>
    <mergeCell ref="A3:B3"/>
    <mergeCell ref="F3:G3"/>
    <mergeCell ref="A4:B4"/>
    <mergeCell ref="F4:G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E98:F98"/>
    <mergeCell ref="G98:H98"/>
    <mergeCell ref="E99:F99"/>
    <mergeCell ref="G99:H99"/>
    <mergeCell ref="C123:D123"/>
    <mergeCell ref="A16:A99"/>
    <mergeCell ref="B19:B32"/>
    <mergeCell ref="B33:B46"/>
    <mergeCell ref="B47:B67"/>
    <mergeCell ref="B68:B76"/>
    <mergeCell ref="B77:B86"/>
    <mergeCell ref="B87:B95"/>
    <mergeCell ref="B96:B97"/>
    <mergeCell ref="B98:D99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AG109"/>
  <sheetViews>
    <sheetView zoomScale="115" zoomScaleNormal="115" topLeftCell="A38" workbookViewId="0">
      <selection activeCell="E52" sqref="E52:F52"/>
    </sheetView>
  </sheetViews>
  <sheetFormatPr defaultColWidth="9.1047619047619" defaultRowHeight="16.5"/>
  <cols>
    <col min="1" max="1" width="19.4380952380952" style="9" customWidth="1"/>
    <col min="2" max="2" width="19" style="9" customWidth="1"/>
    <col min="3" max="3" width="61.4380952380952" style="9" customWidth="1"/>
    <col min="4" max="4" width="15.6666666666667" style="9" customWidth="1"/>
    <col min="5" max="5" width="9.43809523809524" style="9" customWidth="1"/>
    <col min="6" max="6" width="19.3333333333333" style="9" customWidth="1"/>
    <col min="7" max="7" width="6" style="9" customWidth="1"/>
    <col min="8" max="8" width="6.1047619047619" style="9" customWidth="1"/>
    <col min="9" max="12" width="6" style="9" customWidth="1"/>
    <col min="13" max="13" width="6.1047619047619" style="9" customWidth="1"/>
    <col min="14" max="17" width="6" style="9" customWidth="1"/>
    <col min="18" max="18" width="6.1047619047619" style="9" customWidth="1"/>
    <col min="19" max="21" width="6" style="9" customWidth="1"/>
    <col min="22" max="24" width="6.1047619047619" style="9" customWidth="1"/>
    <col min="25" max="26" width="6" style="9" customWidth="1"/>
    <col min="27" max="27" width="8.21904761904762" style="9" customWidth="1"/>
    <col min="28" max="28" width="9.33333333333333" style="9" customWidth="1"/>
    <col min="29" max="16384" width="9.1047619047619" style="9"/>
  </cols>
  <sheetData>
    <row r="1" ht="33" spans="1:6">
      <c r="A1" s="10" t="s">
        <v>0</v>
      </c>
      <c r="B1" s="10"/>
      <c r="C1" s="11" t="s">
        <v>1</v>
      </c>
      <c r="E1" s="12"/>
      <c r="F1" s="12"/>
    </row>
    <row r="2" spans="1:7">
      <c r="A2" s="13" t="s">
        <v>2</v>
      </c>
      <c r="B2" s="13"/>
      <c r="C2" s="8" t="s">
        <v>192</v>
      </c>
      <c r="E2" s="14"/>
      <c r="F2" s="15" t="s">
        <v>4</v>
      </c>
      <c r="G2" s="15"/>
    </row>
    <row r="3" spans="1:7">
      <c r="A3" s="13" t="s">
        <v>5</v>
      </c>
      <c r="B3" s="13"/>
      <c r="C3" s="16">
        <v>46136</v>
      </c>
      <c r="E3" s="17"/>
      <c r="F3" s="18" t="s">
        <v>6</v>
      </c>
      <c r="G3" s="18"/>
    </row>
    <row r="4" ht="18" customHeight="1" spans="1:7">
      <c r="A4" s="13" t="s">
        <v>7</v>
      </c>
      <c r="B4" s="13"/>
      <c r="C4" s="16">
        <v>46151</v>
      </c>
      <c r="E4" s="19"/>
      <c r="F4" s="18" t="s">
        <v>8</v>
      </c>
      <c r="G4" s="18"/>
    </row>
    <row r="5" ht="18" customHeight="1" spans="5:6">
      <c r="E5" s="12"/>
      <c r="F5" s="12"/>
    </row>
    <row r="6" spans="2:5">
      <c r="B6" s="20" t="s">
        <v>193</v>
      </c>
      <c r="C6" s="20"/>
      <c r="D6" s="20"/>
      <c r="E6" s="20"/>
    </row>
    <row r="7" spans="2:5">
      <c r="B7" s="21" t="s">
        <v>10</v>
      </c>
      <c r="C7" s="21" t="s">
        <v>11</v>
      </c>
      <c r="D7" s="21" t="s">
        <v>12</v>
      </c>
      <c r="E7" s="21" t="s">
        <v>13</v>
      </c>
    </row>
    <row r="8" spans="2:5">
      <c r="B8" s="22">
        <v>1</v>
      </c>
      <c r="C8" s="8" t="s">
        <v>14</v>
      </c>
      <c r="D8" s="8">
        <f ca="1">SUMIF($E$16:$F$83,"Phú",$G$16:$G$83)+SUMIF($E$16:$F$83,"All team",$G$16:$G$83)/5+SUMIF($E$16:$F$83,"Việt , Phú",$G$16:$G$83)/2+SUMIF($E$16:$F$83,"Phú , Nhật",$G$16:$G$83)/2</f>
        <v>24.8</v>
      </c>
      <c r="E8" s="8">
        <f ca="1">SUMIF($E$16:$F$83,"Phú",$H$16:$H$83)+SUMIF($E$16:$F$83,"All team",$H$16:$H$83)/5+SUMIF($E$16:$F$83,"Phú , Nhật",$H$16:$H$83)/2+SUMIF($E$16:$F$83,"Việt , Phú",$H$16:$H$83)/2</f>
        <v>29.4</v>
      </c>
    </row>
    <row r="9" spans="2:5">
      <c r="B9" s="22">
        <v>2</v>
      </c>
      <c r="C9" s="8" t="s">
        <v>15</v>
      </c>
      <c r="D9" s="8">
        <f ca="1">SUMIF($E$16:$F$83,"Việt",$G$16:$G$83)+SUMIF($E$16:$F$83,"All team",$G$16:$G$83)/5+SUMIF($E$16:$F$83,"Việt , Phú",$G$16:$G$83)/2+SUMIF($E$16:$F$83,"Việt , Nhật",$G$16:$G$83)/2</f>
        <v>32.3</v>
      </c>
      <c r="E9" s="8">
        <f ca="1">SUMIF($E$16:$F$83,"Việt",$H$16:$H$83)+SUMIF($E$16:$F$83,"All team",$H$16:$H$83)/5+SUMIF($E$16:$F$83,"Việt , Phú",$H$16:$H$83)/2+SUMIF($E$16:$F$83,"Việt , Nhật",$H$16:$H$83)/2</f>
        <v>34.4</v>
      </c>
    </row>
    <row r="10" spans="2:5">
      <c r="B10" s="22">
        <v>3</v>
      </c>
      <c r="C10" s="8" t="s">
        <v>16</v>
      </c>
      <c r="D10" s="8">
        <f ca="1">SUMIF($E$16:$F$83,"Vũ",$G$16:$G$83)+SUMIF($E$16:$F$83,"All team",$G$16:$G$83)/5</f>
        <v>24.8</v>
      </c>
      <c r="E10" s="8">
        <f ca="1">SUMIF($E$16:$F$83,"Vũ",$H$16:$H$83)+SUMIF($E$16:$F$83,"ALL team",$H$16:$H$83)/5</f>
        <v>26.4</v>
      </c>
    </row>
    <row r="11" spans="2:5">
      <c r="B11" s="22">
        <v>4</v>
      </c>
      <c r="C11" s="8" t="s">
        <v>17</v>
      </c>
      <c r="D11" s="8">
        <f ca="1">SUMIF($E$16:$F$83,"Nhật",$G$16:$G$83)+SUMIF($E$16:$F$83,"All team",$G$16:$G$83)/5+SUMIF($E$16:$F$83,"Nhật , Thảo",$G$16:$G$83)/2+SUMIF($E$16:$F$83,"Việt , Nhật",$G$16:$G$83)/2+SUMIF($E$16:$F$83,"Phú , Nhật",$G$16:$G$83)/2</f>
        <v>34.3</v>
      </c>
      <c r="E11" s="8">
        <f ca="1">SUMIF($E$16:$F$83,"Nhật",$H$16:$H$83)+SUMIF($E$16:$F$83,"All team",$H$16:$H$83)/5+SUMIF($E$16:$F$83,"Phú , Nhật",$H$16:$H$83)/2+SUMIF($E$16:$F$83,"Việt , Nhật",$H$16:$H$83)/2+SUMIF($E$16:$F$83,"Nhật , Thảo",$H$16:$H$83)/2</f>
        <v>36.4</v>
      </c>
    </row>
    <row r="12" spans="2:5">
      <c r="B12" s="22">
        <v>5</v>
      </c>
      <c r="C12" s="8" t="s">
        <v>18</v>
      </c>
      <c r="D12" s="8">
        <f ca="1">SUMIF($E$16:$F$83,"Thảo",$G$16:$G$83)+SUMIF($E$16:$F$83,"All team",$G$16:$G$83)/5+SUMIF($E$16:$F$83,"Nhật , Thảo",$G$16:$G$83)/2</f>
        <v>32.8</v>
      </c>
      <c r="E12" s="8">
        <f ca="1">SUMIF($E$16:$F$83,"Thảo",$H$16:$H$83)+SUMIF($E$16:$F$83,"All team",$H$16:$H$83)/5+SUMIF($E$16:$F$83,"Nhật , Thảo",$H$16:$H$83)/2</f>
        <v>36.4</v>
      </c>
    </row>
    <row r="13" spans="2:5">
      <c r="B13" s="20" t="s">
        <v>19</v>
      </c>
      <c r="C13" s="20"/>
      <c r="D13" s="23">
        <f ca="1">SUM(D8:D12)</f>
        <v>149</v>
      </c>
      <c r="E13" s="23">
        <f ca="1">SUM(E8:E12)</f>
        <v>163</v>
      </c>
    </row>
    <row r="15" ht="63.75" customHeight="1" spans="1:29">
      <c r="A15" s="23" t="s">
        <v>20</v>
      </c>
      <c r="B15" s="23" t="s">
        <v>21</v>
      </c>
      <c r="C15" s="24" t="s">
        <v>22</v>
      </c>
      <c r="D15" s="25"/>
      <c r="E15" s="24" t="s">
        <v>23</v>
      </c>
      <c r="F15" s="25"/>
      <c r="G15" s="26" t="s">
        <v>12</v>
      </c>
      <c r="H15" s="26" t="s">
        <v>13</v>
      </c>
      <c r="I15" s="45">
        <v>46135</v>
      </c>
      <c r="J15" s="45">
        <v>46136</v>
      </c>
      <c r="K15" s="45">
        <v>46137</v>
      </c>
      <c r="L15" s="45">
        <v>46138</v>
      </c>
      <c r="M15" s="45">
        <v>46139</v>
      </c>
      <c r="N15" s="45">
        <v>46140</v>
      </c>
      <c r="O15" s="45">
        <v>46141</v>
      </c>
      <c r="P15" s="45">
        <v>46142</v>
      </c>
      <c r="Q15" s="45">
        <v>46143</v>
      </c>
      <c r="R15" s="45">
        <v>46144</v>
      </c>
      <c r="S15" s="45">
        <v>46145</v>
      </c>
      <c r="T15" s="45">
        <v>46146</v>
      </c>
      <c r="U15" s="45">
        <v>46147</v>
      </c>
      <c r="V15" s="45">
        <v>46148</v>
      </c>
      <c r="W15" s="45">
        <v>46149</v>
      </c>
      <c r="X15" s="45">
        <v>46150</v>
      </c>
      <c r="Y15" s="45">
        <v>46151</v>
      </c>
      <c r="Z15" s="57"/>
      <c r="AA15" s="57"/>
      <c r="AB15" s="57"/>
      <c r="AC15" s="57"/>
    </row>
    <row r="16" spans="1:25">
      <c r="A16" s="27" t="s">
        <v>192</v>
      </c>
      <c r="B16" s="28" t="s">
        <v>24</v>
      </c>
      <c r="C16" s="28"/>
      <c r="D16" s="29"/>
      <c r="E16" s="30" t="s">
        <v>25</v>
      </c>
      <c r="F16" s="31"/>
      <c r="G16" s="8">
        <v>10</v>
      </c>
      <c r="H16" s="8">
        <v>10</v>
      </c>
      <c r="I16" s="8">
        <v>10</v>
      </c>
      <c r="J16" s="46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</row>
    <row r="17" spans="1:25">
      <c r="A17" s="27"/>
      <c r="B17" s="28" t="s">
        <v>194</v>
      </c>
      <c r="C17" s="28"/>
      <c r="D17" s="29"/>
      <c r="E17" s="30" t="s">
        <v>27</v>
      </c>
      <c r="F17" s="31"/>
      <c r="G17" s="8">
        <v>3</v>
      </c>
      <c r="H17" s="8">
        <v>4</v>
      </c>
      <c r="I17" s="8">
        <v>3</v>
      </c>
      <c r="J17" s="47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</row>
    <row r="18" spans="1:25">
      <c r="A18" s="27"/>
      <c r="B18" s="32"/>
      <c r="C18" s="32"/>
      <c r="D18" s="31"/>
      <c r="E18" s="30"/>
      <c r="F18" s="31"/>
      <c r="G18" s="8"/>
      <c r="H18" s="8"/>
      <c r="I18" s="8"/>
      <c r="J18" s="48">
        <v>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27"/>
      <c r="B19" s="28" t="s">
        <v>28</v>
      </c>
      <c r="C19" s="28"/>
      <c r="D19" s="29"/>
      <c r="E19" s="30" t="s">
        <v>29</v>
      </c>
      <c r="F19" s="31"/>
      <c r="G19" s="8">
        <v>4</v>
      </c>
      <c r="H19" s="8">
        <v>4</v>
      </c>
      <c r="I19" s="8">
        <v>4</v>
      </c>
      <c r="J19" s="8">
        <v>4</v>
      </c>
      <c r="K19" s="49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</row>
    <row r="20" ht="17.25" customHeight="1" spans="1:25">
      <c r="A20" s="27"/>
      <c r="B20" s="33" t="s">
        <v>30</v>
      </c>
      <c r="C20" s="34" t="s">
        <v>195</v>
      </c>
      <c r="D20" s="35"/>
      <c r="E20" s="36" t="s">
        <v>29</v>
      </c>
      <c r="F20" s="37"/>
      <c r="G20" s="38">
        <v>2</v>
      </c>
      <c r="H20" s="38">
        <v>2</v>
      </c>
      <c r="I20" s="38">
        <v>2</v>
      </c>
      <c r="J20" s="38">
        <v>2</v>
      </c>
      <c r="K20" s="51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</row>
    <row r="21" spans="1:29">
      <c r="A21" s="27"/>
      <c r="B21" s="39"/>
      <c r="C21" s="34" t="s">
        <v>196</v>
      </c>
      <c r="D21" s="35"/>
      <c r="E21" s="30" t="s">
        <v>29</v>
      </c>
      <c r="F21" s="31"/>
      <c r="G21" s="38">
        <v>2</v>
      </c>
      <c r="H21" s="38">
        <v>2</v>
      </c>
      <c r="I21" s="38">
        <v>2</v>
      </c>
      <c r="J21" s="38">
        <v>2</v>
      </c>
      <c r="K21" s="51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AC21" s="58"/>
    </row>
    <row r="22" spans="1:29">
      <c r="A22" s="27"/>
      <c r="B22" s="39"/>
      <c r="C22" s="34" t="s">
        <v>197</v>
      </c>
      <c r="D22" s="35"/>
      <c r="E22" s="36" t="s">
        <v>29</v>
      </c>
      <c r="F22" s="37"/>
      <c r="G22" s="38">
        <v>1</v>
      </c>
      <c r="H22" s="38">
        <v>1</v>
      </c>
      <c r="I22" s="38">
        <v>1</v>
      </c>
      <c r="J22" s="38">
        <v>1</v>
      </c>
      <c r="K22" s="51">
        <v>0</v>
      </c>
      <c r="L22" s="38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AC22" s="58"/>
    </row>
    <row r="23" spans="1:29">
      <c r="A23" s="27"/>
      <c r="B23" s="39"/>
      <c r="C23" s="34" t="s">
        <v>198</v>
      </c>
      <c r="D23" s="35"/>
      <c r="E23" s="30" t="s">
        <v>29</v>
      </c>
      <c r="F23" s="31"/>
      <c r="G23" s="38">
        <v>1</v>
      </c>
      <c r="H23" s="38">
        <v>1</v>
      </c>
      <c r="I23" s="38">
        <v>1</v>
      </c>
      <c r="J23" s="38">
        <v>1</v>
      </c>
      <c r="K23" s="38">
        <v>1</v>
      </c>
      <c r="L23" s="51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AC23" s="58"/>
    </row>
    <row r="24" spans="1:29">
      <c r="A24" s="27"/>
      <c r="B24" s="39"/>
      <c r="C24" s="34" t="s">
        <v>199</v>
      </c>
      <c r="D24" s="35"/>
      <c r="E24" s="36" t="s">
        <v>29</v>
      </c>
      <c r="F24" s="37"/>
      <c r="G24" s="38">
        <v>1</v>
      </c>
      <c r="H24" s="38">
        <v>1</v>
      </c>
      <c r="I24" s="38">
        <v>1</v>
      </c>
      <c r="J24" s="38">
        <v>1</v>
      </c>
      <c r="K24" s="38">
        <v>1</v>
      </c>
      <c r="L24" s="51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AC24" s="58"/>
    </row>
    <row r="25" spans="1:29">
      <c r="A25" s="27"/>
      <c r="B25" s="39"/>
      <c r="C25" s="34" t="s">
        <v>200</v>
      </c>
      <c r="D25" s="35"/>
      <c r="E25" s="30" t="s">
        <v>29</v>
      </c>
      <c r="F25" s="31"/>
      <c r="G25" s="38">
        <v>2</v>
      </c>
      <c r="H25" s="38">
        <v>2</v>
      </c>
      <c r="I25" s="38">
        <v>2</v>
      </c>
      <c r="J25" s="38">
        <v>2</v>
      </c>
      <c r="K25" s="38">
        <v>2</v>
      </c>
      <c r="L25" s="51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AC25" s="58"/>
    </row>
    <row r="26" spans="1:25">
      <c r="A26" s="27"/>
      <c r="B26" s="39"/>
      <c r="C26" s="34" t="s">
        <v>201</v>
      </c>
      <c r="D26" s="35"/>
      <c r="E26" s="36" t="s">
        <v>29</v>
      </c>
      <c r="F26" s="37"/>
      <c r="G26" s="38">
        <v>3</v>
      </c>
      <c r="H26" s="38">
        <v>3</v>
      </c>
      <c r="I26" s="38">
        <v>3</v>
      </c>
      <c r="J26" s="38">
        <v>3</v>
      </c>
      <c r="K26" s="38">
        <v>3</v>
      </c>
      <c r="L26" s="51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</row>
    <row r="27" spans="1:25">
      <c r="A27" s="27"/>
      <c r="B27" s="39"/>
      <c r="C27" s="34" t="s">
        <v>202</v>
      </c>
      <c r="D27" s="35"/>
      <c r="E27" s="30" t="s">
        <v>25</v>
      </c>
      <c r="F27" s="31"/>
      <c r="G27" s="8">
        <v>7</v>
      </c>
      <c r="H27" s="8">
        <v>10</v>
      </c>
      <c r="I27" s="8">
        <v>10</v>
      </c>
      <c r="J27" s="8">
        <v>10</v>
      </c>
      <c r="K27" s="8">
        <v>10</v>
      </c>
      <c r="L27" s="38">
        <v>7</v>
      </c>
      <c r="M27" s="51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</row>
    <row r="28" spans="1:25">
      <c r="A28" s="27"/>
      <c r="B28" s="40"/>
      <c r="C28" s="34"/>
      <c r="D28" s="35"/>
      <c r="E28" s="30"/>
      <c r="F28" s="31"/>
      <c r="G28" s="8"/>
      <c r="H28" s="8"/>
      <c r="I28" s="8"/>
      <c r="J28" s="8"/>
      <c r="K28" s="8"/>
      <c r="L28" s="38"/>
      <c r="M28" s="52">
        <v>3</v>
      </c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>
      <c r="A29" s="27"/>
      <c r="B29" s="33" t="s">
        <v>43</v>
      </c>
      <c r="C29" s="28" t="s">
        <v>203</v>
      </c>
      <c r="D29" s="29"/>
      <c r="E29" s="30" t="s">
        <v>132</v>
      </c>
      <c r="F29" s="31"/>
      <c r="G29" s="8">
        <v>3</v>
      </c>
      <c r="H29" s="8">
        <v>4</v>
      </c>
      <c r="I29" s="8">
        <v>4</v>
      </c>
      <c r="J29" s="8">
        <v>4</v>
      </c>
      <c r="K29" s="8">
        <v>4</v>
      </c>
      <c r="L29" s="8">
        <v>4</v>
      </c>
      <c r="M29" s="8">
        <v>4</v>
      </c>
      <c r="N29" s="47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</row>
    <row r="30" spans="1:33">
      <c r="A30" s="27"/>
      <c r="B30" s="39"/>
      <c r="C30" s="28" t="s">
        <v>204</v>
      </c>
      <c r="D30" s="29"/>
      <c r="E30" s="30" t="s">
        <v>132</v>
      </c>
      <c r="F30" s="31"/>
      <c r="G30" s="8">
        <v>1</v>
      </c>
      <c r="H30" s="8">
        <v>2</v>
      </c>
      <c r="I30" s="8">
        <v>2</v>
      </c>
      <c r="J30" s="8">
        <v>2</v>
      </c>
      <c r="K30" s="8">
        <v>2</v>
      </c>
      <c r="L30" s="8">
        <v>2</v>
      </c>
      <c r="M30" s="8">
        <v>2</v>
      </c>
      <c r="N30" s="47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AF30" s="59"/>
      <c r="AG30" s="59"/>
    </row>
    <row r="31" spans="1:33">
      <c r="A31" s="27"/>
      <c r="B31" s="39"/>
      <c r="C31" s="28" t="s">
        <v>205</v>
      </c>
      <c r="D31" s="29"/>
      <c r="E31" s="30" t="s">
        <v>130</v>
      </c>
      <c r="F31" s="31"/>
      <c r="G31" s="8">
        <v>2</v>
      </c>
      <c r="H31" s="8">
        <v>2</v>
      </c>
      <c r="I31" s="8">
        <v>2</v>
      </c>
      <c r="J31" s="8">
        <v>2</v>
      </c>
      <c r="K31" s="8">
        <v>2</v>
      </c>
      <c r="L31" s="8">
        <v>2</v>
      </c>
      <c r="M31" s="8">
        <v>2</v>
      </c>
      <c r="N31" s="47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AD31" s="59"/>
      <c r="AE31" s="59"/>
      <c r="AF31" s="59"/>
      <c r="AG31" s="59"/>
    </row>
    <row r="32" spans="1:33">
      <c r="A32" s="27"/>
      <c r="B32" s="39"/>
      <c r="C32" s="28" t="s">
        <v>206</v>
      </c>
      <c r="D32" s="29"/>
      <c r="E32" s="30" t="s">
        <v>130</v>
      </c>
      <c r="F32" s="31"/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  <c r="M32" s="8">
        <v>1</v>
      </c>
      <c r="N32" s="8">
        <v>1</v>
      </c>
      <c r="O32" s="47">
        <v>0</v>
      </c>
      <c r="P32" s="50">
        <v>0</v>
      </c>
      <c r="Q32" s="50">
        <v>0</v>
      </c>
      <c r="R32" s="50">
        <v>0</v>
      </c>
      <c r="S32" s="50">
        <v>0</v>
      </c>
      <c r="T32" s="50">
        <v>0</v>
      </c>
      <c r="U32" s="50">
        <v>0</v>
      </c>
      <c r="V32" s="50">
        <v>0</v>
      </c>
      <c r="W32" s="50">
        <v>0</v>
      </c>
      <c r="X32" s="50">
        <v>0</v>
      </c>
      <c r="Y32" s="50">
        <v>0</v>
      </c>
      <c r="AF32" s="59"/>
      <c r="AG32" s="59"/>
    </row>
    <row r="33" spans="1:33">
      <c r="A33" s="27"/>
      <c r="B33" s="39"/>
      <c r="C33" s="28" t="s">
        <v>207</v>
      </c>
      <c r="D33" s="29"/>
      <c r="E33" s="30" t="s">
        <v>130</v>
      </c>
      <c r="F33" s="31"/>
      <c r="G33" s="8">
        <v>2</v>
      </c>
      <c r="H33" s="8">
        <v>2</v>
      </c>
      <c r="I33" s="8">
        <v>2</v>
      </c>
      <c r="J33" s="8">
        <v>2</v>
      </c>
      <c r="K33" s="8">
        <v>2</v>
      </c>
      <c r="L33" s="8">
        <v>2</v>
      </c>
      <c r="M33" s="8">
        <v>2</v>
      </c>
      <c r="N33" s="8">
        <v>2</v>
      </c>
      <c r="O33" s="47">
        <v>0</v>
      </c>
      <c r="P33" s="50">
        <v>0</v>
      </c>
      <c r="Q33" s="50">
        <v>0</v>
      </c>
      <c r="R33" s="50">
        <v>0</v>
      </c>
      <c r="S33" s="50">
        <v>0</v>
      </c>
      <c r="T33" s="50">
        <v>0</v>
      </c>
      <c r="U33" s="50">
        <v>0</v>
      </c>
      <c r="V33" s="50">
        <v>0</v>
      </c>
      <c r="W33" s="50">
        <v>0</v>
      </c>
      <c r="X33" s="50">
        <v>0</v>
      </c>
      <c r="Y33" s="50">
        <v>0</v>
      </c>
      <c r="AD33" s="60"/>
      <c r="AE33" s="60"/>
      <c r="AF33" s="59"/>
      <c r="AG33" s="59"/>
    </row>
    <row r="34" spans="1:33">
      <c r="A34" s="27"/>
      <c r="B34" s="39"/>
      <c r="C34" s="28" t="s">
        <v>208</v>
      </c>
      <c r="D34" s="29"/>
      <c r="E34" s="30" t="s">
        <v>132</v>
      </c>
      <c r="F34" s="31"/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  <c r="M34" s="8">
        <v>1</v>
      </c>
      <c r="N34" s="8">
        <v>1</v>
      </c>
      <c r="O34" s="47">
        <v>0</v>
      </c>
      <c r="P34" s="50">
        <v>0</v>
      </c>
      <c r="Q34" s="50">
        <v>0</v>
      </c>
      <c r="R34" s="50">
        <v>0</v>
      </c>
      <c r="S34" s="50">
        <v>0</v>
      </c>
      <c r="T34" s="50">
        <v>0</v>
      </c>
      <c r="U34" s="50">
        <v>0</v>
      </c>
      <c r="V34" s="50">
        <v>0</v>
      </c>
      <c r="W34" s="50">
        <v>0</v>
      </c>
      <c r="X34" s="50">
        <v>0</v>
      </c>
      <c r="Y34" s="50">
        <v>0</v>
      </c>
      <c r="AD34" s="59"/>
      <c r="AE34" s="59"/>
      <c r="AF34" s="59"/>
      <c r="AG34" s="59"/>
    </row>
    <row r="35" spans="1:25">
      <c r="A35" s="27"/>
      <c r="B35" s="39"/>
      <c r="C35" s="28" t="s">
        <v>209</v>
      </c>
      <c r="D35" s="29"/>
      <c r="E35" s="30" t="s">
        <v>132</v>
      </c>
      <c r="F35" s="31"/>
      <c r="G35" s="8">
        <v>1</v>
      </c>
      <c r="H35" s="8">
        <v>2</v>
      </c>
      <c r="I35" s="8">
        <v>2</v>
      </c>
      <c r="J35" s="8">
        <v>2</v>
      </c>
      <c r="K35" s="8">
        <v>2</v>
      </c>
      <c r="L35" s="8">
        <v>2</v>
      </c>
      <c r="M35" s="8">
        <v>2</v>
      </c>
      <c r="N35" s="8">
        <v>2</v>
      </c>
      <c r="O35" s="47">
        <v>0</v>
      </c>
      <c r="P35" s="50">
        <v>0</v>
      </c>
      <c r="Q35" s="50">
        <v>0</v>
      </c>
      <c r="R35" s="50">
        <v>0</v>
      </c>
      <c r="S35" s="50">
        <v>0</v>
      </c>
      <c r="T35" s="50">
        <v>0</v>
      </c>
      <c r="U35" s="50">
        <v>0</v>
      </c>
      <c r="V35" s="50">
        <v>0</v>
      </c>
      <c r="W35" s="50">
        <v>0</v>
      </c>
      <c r="X35" s="50">
        <v>0</v>
      </c>
      <c r="Y35" s="50">
        <v>0</v>
      </c>
    </row>
    <row r="36" spans="1:25">
      <c r="A36" s="27"/>
      <c r="B36" s="39"/>
      <c r="C36" s="41"/>
      <c r="D36" s="42"/>
      <c r="E36" s="30"/>
      <c r="F36" s="31"/>
      <c r="G36" s="43"/>
      <c r="H36" s="43"/>
      <c r="I36" s="43"/>
      <c r="J36" s="43"/>
      <c r="K36" s="43"/>
      <c r="L36" s="43"/>
      <c r="M36" s="43"/>
      <c r="N36" s="43"/>
      <c r="O36" s="53">
        <v>1</v>
      </c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 spans="1:25">
      <c r="A37" s="27"/>
      <c r="B37" s="39"/>
      <c r="C37" s="28" t="s">
        <v>210</v>
      </c>
      <c r="D37" s="29"/>
      <c r="E37" s="30" t="s">
        <v>25</v>
      </c>
      <c r="F37" s="31"/>
      <c r="G37" s="8">
        <v>8</v>
      </c>
      <c r="H37" s="8">
        <v>10</v>
      </c>
      <c r="I37" s="8">
        <v>10</v>
      </c>
      <c r="J37" s="8">
        <v>10</v>
      </c>
      <c r="K37" s="8">
        <v>10</v>
      </c>
      <c r="L37" s="8">
        <v>10</v>
      </c>
      <c r="M37" s="8">
        <v>10</v>
      </c>
      <c r="N37" s="8">
        <v>10</v>
      </c>
      <c r="O37" s="8">
        <v>8</v>
      </c>
      <c r="P37" s="47">
        <v>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61">
        <v>0</v>
      </c>
    </row>
    <row r="38" spans="1:25">
      <c r="A38" s="27"/>
      <c r="B38" s="40"/>
      <c r="C38" s="28"/>
      <c r="D38" s="29"/>
      <c r="E38" s="30"/>
      <c r="F38" s="31"/>
      <c r="G38" s="8"/>
      <c r="H38" s="8"/>
      <c r="I38" s="8"/>
      <c r="J38" s="8"/>
      <c r="K38" s="8"/>
      <c r="L38" s="8"/>
      <c r="M38" s="8"/>
      <c r="N38" s="8"/>
      <c r="O38" s="8"/>
      <c r="P38" s="48">
        <v>2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</row>
    <row r="39" spans="1:25">
      <c r="A39" s="27"/>
      <c r="B39" s="33" t="s">
        <v>55</v>
      </c>
      <c r="C39" s="44" t="s">
        <v>211</v>
      </c>
      <c r="D39" s="29"/>
      <c r="E39" s="30" t="s">
        <v>64</v>
      </c>
      <c r="F39" s="31"/>
      <c r="G39" s="8">
        <v>6</v>
      </c>
      <c r="H39" s="8">
        <v>6</v>
      </c>
      <c r="I39" s="8">
        <v>6</v>
      </c>
      <c r="J39" s="8">
        <v>6</v>
      </c>
      <c r="K39" s="8">
        <v>6</v>
      </c>
      <c r="L39" s="8">
        <v>6</v>
      </c>
      <c r="M39" s="8">
        <v>6</v>
      </c>
      <c r="N39" s="8">
        <v>6</v>
      </c>
      <c r="O39" s="8">
        <v>6</v>
      </c>
      <c r="P39" s="8">
        <v>6</v>
      </c>
      <c r="Q39" s="47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5">
        <v>0</v>
      </c>
    </row>
    <row r="40" spans="1:25">
      <c r="A40" s="27"/>
      <c r="B40" s="39"/>
      <c r="C40" s="44" t="s">
        <v>212</v>
      </c>
      <c r="D40" s="29"/>
      <c r="E40" s="30" t="s">
        <v>32</v>
      </c>
      <c r="F40" s="31"/>
      <c r="G40" s="8">
        <v>3</v>
      </c>
      <c r="H40" s="8">
        <v>3</v>
      </c>
      <c r="I40" s="8">
        <v>3</v>
      </c>
      <c r="J40" s="8">
        <v>3</v>
      </c>
      <c r="K40" s="8">
        <v>3</v>
      </c>
      <c r="L40" s="8">
        <v>3</v>
      </c>
      <c r="M40" s="8">
        <v>3</v>
      </c>
      <c r="N40" s="8">
        <v>3</v>
      </c>
      <c r="O40" s="8">
        <v>3</v>
      </c>
      <c r="P40" s="8">
        <v>3</v>
      </c>
      <c r="Q40" s="47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</row>
    <row r="41" spans="1:25">
      <c r="A41" s="27"/>
      <c r="B41" s="39"/>
      <c r="C41" s="44" t="s">
        <v>213</v>
      </c>
      <c r="D41" s="29"/>
      <c r="E41" s="30" t="s">
        <v>214</v>
      </c>
      <c r="F41" s="31"/>
      <c r="G41" s="8">
        <v>3</v>
      </c>
      <c r="H41" s="8">
        <v>3</v>
      </c>
      <c r="I41" s="8">
        <v>3</v>
      </c>
      <c r="J41" s="8">
        <v>3</v>
      </c>
      <c r="K41" s="8">
        <v>3</v>
      </c>
      <c r="L41" s="8">
        <v>3</v>
      </c>
      <c r="M41" s="8">
        <v>3</v>
      </c>
      <c r="N41" s="8">
        <v>3</v>
      </c>
      <c r="O41" s="8">
        <v>3</v>
      </c>
      <c r="P41" s="8">
        <v>3</v>
      </c>
      <c r="Q41" s="47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</row>
    <row r="42" spans="1:25">
      <c r="A42" s="27"/>
      <c r="B42" s="39"/>
      <c r="C42" s="44" t="s">
        <v>215</v>
      </c>
      <c r="D42" s="29"/>
      <c r="E42" s="30" t="s">
        <v>32</v>
      </c>
      <c r="F42" s="31"/>
      <c r="G42" s="8">
        <v>3</v>
      </c>
      <c r="H42" s="8">
        <v>3</v>
      </c>
      <c r="I42" s="8">
        <v>3</v>
      </c>
      <c r="J42" s="8">
        <v>3</v>
      </c>
      <c r="K42" s="8">
        <v>3</v>
      </c>
      <c r="L42" s="8">
        <v>3</v>
      </c>
      <c r="M42" s="8">
        <v>3</v>
      </c>
      <c r="N42" s="8">
        <v>3</v>
      </c>
      <c r="O42" s="8">
        <v>3</v>
      </c>
      <c r="P42" s="8">
        <v>3</v>
      </c>
      <c r="Q42" s="8">
        <v>3</v>
      </c>
      <c r="R42" s="47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X42" s="55">
        <v>0</v>
      </c>
      <c r="Y42" s="55">
        <v>0</v>
      </c>
    </row>
    <row r="43" spans="1:25">
      <c r="A43" s="27"/>
      <c r="B43" s="39"/>
      <c r="C43" s="44" t="s">
        <v>216</v>
      </c>
      <c r="D43" s="29"/>
      <c r="E43" s="30" t="s">
        <v>32</v>
      </c>
      <c r="F43" s="31"/>
      <c r="G43" s="8">
        <v>2</v>
      </c>
      <c r="H43" s="8">
        <v>2</v>
      </c>
      <c r="I43" s="8">
        <v>2</v>
      </c>
      <c r="J43" s="8">
        <v>2</v>
      </c>
      <c r="K43" s="8">
        <v>2</v>
      </c>
      <c r="L43" s="8">
        <v>2</v>
      </c>
      <c r="M43" s="8">
        <v>2</v>
      </c>
      <c r="N43" s="8">
        <v>2</v>
      </c>
      <c r="O43" s="8">
        <v>2</v>
      </c>
      <c r="P43" s="8">
        <v>2</v>
      </c>
      <c r="Q43" s="8">
        <v>2</v>
      </c>
      <c r="R43" s="47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0</v>
      </c>
    </row>
    <row r="44" spans="1:25">
      <c r="A44" s="27"/>
      <c r="B44" s="39"/>
      <c r="C44" s="44" t="s">
        <v>217</v>
      </c>
      <c r="D44" s="29"/>
      <c r="E44" s="30" t="s">
        <v>32</v>
      </c>
      <c r="F44" s="31"/>
      <c r="G44" s="8">
        <v>3</v>
      </c>
      <c r="H44" s="8">
        <v>3</v>
      </c>
      <c r="I44" s="8">
        <v>3</v>
      </c>
      <c r="J44" s="8">
        <v>3</v>
      </c>
      <c r="K44" s="8">
        <v>3</v>
      </c>
      <c r="L44" s="8">
        <v>3</v>
      </c>
      <c r="M44" s="8">
        <v>3</v>
      </c>
      <c r="N44" s="8">
        <v>3</v>
      </c>
      <c r="O44" s="8">
        <v>3</v>
      </c>
      <c r="P44" s="8">
        <v>3</v>
      </c>
      <c r="Q44" s="8">
        <v>3</v>
      </c>
      <c r="R44" s="47">
        <v>0</v>
      </c>
      <c r="S44" s="55">
        <v>0</v>
      </c>
      <c r="T44" s="55">
        <v>0</v>
      </c>
      <c r="U44" s="55">
        <v>0</v>
      </c>
      <c r="V44" s="55">
        <v>0</v>
      </c>
      <c r="W44" s="55">
        <v>0</v>
      </c>
      <c r="X44" s="55">
        <v>0</v>
      </c>
      <c r="Y44" s="55">
        <v>0</v>
      </c>
    </row>
    <row r="45" spans="1:25">
      <c r="A45" s="27"/>
      <c r="B45" s="39"/>
      <c r="C45" s="44" t="s">
        <v>218</v>
      </c>
      <c r="D45" s="29"/>
      <c r="E45" s="30" t="s">
        <v>32</v>
      </c>
      <c r="F45" s="31"/>
      <c r="G45" s="8">
        <v>3</v>
      </c>
      <c r="H45" s="8">
        <v>3</v>
      </c>
      <c r="I45" s="8">
        <v>3</v>
      </c>
      <c r="J45" s="8">
        <v>3</v>
      </c>
      <c r="K45" s="8">
        <v>3</v>
      </c>
      <c r="L45" s="8">
        <v>3</v>
      </c>
      <c r="M45" s="8">
        <v>3</v>
      </c>
      <c r="N45" s="8">
        <v>3</v>
      </c>
      <c r="O45" s="8">
        <v>3</v>
      </c>
      <c r="P45" s="8">
        <v>3</v>
      </c>
      <c r="Q45" s="8">
        <v>3</v>
      </c>
      <c r="R45" s="8">
        <v>3</v>
      </c>
      <c r="S45" s="47">
        <v>0</v>
      </c>
      <c r="T45" s="55">
        <v>0</v>
      </c>
      <c r="U45" s="55">
        <v>0</v>
      </c>
      <c r="V45" s="55">
        <v>0</v>
      </c>
      <c r="W45" s="55">
        <v>0</v>
      </c>
      <c r="X45" s="55">
        <v>0</v>
      </c>
      <c r="Y45" s="55">
        <v>0</v>
      </c>
    </row>
    <row r="46" spans="1:25">
      <c r="A46" s="27"/>
      <c r="B46" s="39"/>
      <c r="C46" s="44" t="s">
        <v>219</v>
      </c>
      <c r="D46" s="29"/>
      <c r="E46" s="30" t="s">
        <v>220</v>
      </c>
      <c r="F46" s="31"/>
      <c r="G46" s="8">
        <v>4</v>
      </c>
      <c r="H46" s="8">
        <v>4</v>
      </c>
      <c r="I46" s="8">
        <v>4</v>
      </c>
      <c r="J46" s="8">
        <v>4</v>
      </c>
      <c r="K46" s="8">
        <v>4</v>
      </c>
      <c r="L46" s="8">
        <v>4</v>
      </c>
      <c r="M46" s="8">
        <v>4</v>
      </c>
      <c r="N46" s="8">
        <v>4</v>
      </c>
      <c r="O46" s="8">
        <v>4</v>
      </c>
      <c r="P46" s="8">
        <v>4</v>
      </c>
      <c r="Q46" s="8">
        <v>4</v>
      </c>
      <c r="R46" s="8">
        <v>4</v>
      </c>
      <c r="S46" s="47">
        <v>0</v>
      </c>
      <c r="T46" s="55">
        <v>0</v>
      </c>
      <c r="U46" s="55">
        <v>0</v>
      </c>
      <c r="V46" s="55">
        <v>0</v>
      </c>
      <c r="W46" s="55">
        <v>0</v>
      </c>
      <c r="X46" s="55">
        <v>0</v>
      </c>
      <c r="Y46" s="55">
        <v>0</v>
      </c>
    </row>
    <row r="47" spans="1:25">
      <c r="A47" s="27"/>
      <c r="B47" s="39"/>
      <c r="C47" s="44" t="s">
        <v>221</v>
      </c>
      <c r="D47" s="29"/>
      <c r="E47" s="30" t="s">
        <v>32</v>
      </c>
      <c r="F47" s="31"/>
      <c r="G47" s="8">
        <v>2</v>
      </c>
      <c r="H47" s="8">
        <v>2</v>
      </c>
      <c r="I47" s="8">
        <v>2</v>
      </c>
      <c r="J47" s="8">
        <v>2</v>
      </c>
      <c r="K47" s="8">
        <v>2</v>
      </c>
      <c r="L47" s="8">
        <v>2</v>
      </c>
      <c r="M47" s="8">
        <v>2</v>
      </c>
      <c r="N47" s="8">
        <v>2</v>
      </c>
      <c r="O47" s="8">
        <v>2</v>
      </c>
      <c r="P47" s="8">
        <v>2</v>
      </c>
      <c r="Q47" s="8">
        <v>2</v>
      </c>
      <c r="R47" s="8">
        <v>2</v>
      </c>
      <c r="S47" s="47">
        <v>0</v>
      </c>
      <c r="T47" s="55">
        <v>0</v>
      </c>
      <c r="U47" s="55">
        <v>0</v>
      </c>
      <c r="V47" s="55">
        <v>0</v>
      </c>
      <c r="W47" s="55">
        <v>0</v>
      </c>
      <c r="X47" s="55">
        <v>0</v>
      </c>
      <c r="Y47" s="55">
        <v>0</v>
      </c>
    </row>
    <row r="48" spans="1:25">
      <c r="A48" s="27"/>
      <c r="B48" s="39"/>
      <c r="C48" s="44" t="s">
        <v>222</v>
      </c>
      <c r="D48" s="29"/>
      <c r="E48" s="30" t="s">
        <v>214</v>
      </c>
      <c r="F48" s="31"/>
      <c r="G48" s="8">
        <v>2</v>
      </c>
      <c r="H48" s="8">
        <v>2</v>
      </c>
      <c r="I48" s="8">
        <v>2</v>
      </c>
      <c r="J48" s="8">
        <v>2</v>
      </c>
      <c r="K48" s="8">
        <v>2</v>
      </c>
      <c r="L48" s="8">
        <v>2</v>
      </c>
      <c r="M48" s="8">
        <v>2</v>
      </c>
      <c r="N48" s="8">
        <v>2</v>
      </c>
      <c r="O48" s="8">
        <v>2</v>
      </c>
      <c r="P48" s="8">
        <v>2</v>
      </c>
      <c r="Q48" s="8">
        <v>2</v>
      </c>
      <c r="R48" s="8">
        <v>2</v>
      </c>
      <c r="S48" s="47">
        <v>0</v>
      </c>
      <c r="T48" s="55">
        <v>0</v>
      </c>
      <c r="U48" s="55">
        <v>0</v>
      </c>
      <c r="V48" s="55">
        <v>0</v>
      </c>
      <c r="W48" s="55">
        <v>0</v>
      </c>
      <c r="X48" s="55">
        <v>0</v>
      </c>
      <c r="Y48" s="55">
        <v>0</v>
      </c>
    </row>
    <row r="49" spans="1:25">
      <c r="A49" s="27"/>
      <c r="B49" s="39"/>
      <c r="C49" s="44" t="s">
        <v>223</v>
      </c>
      <c r="D49" s="29"/>
      <c r="E49" s="30" t="s">
        <v>25</v>
      </c>
      <c r="F49" s="31"/>
      <c r="G49" s="8">
        <v>2</v>
      </c>
      <c r="H49" s="8">
        <v>2</v>
      </c>
      <c r="I49" s="8">
        <v>2</v>
      </c>
      <c r="J49" s="8">
        <v>2</v>
      </c>
      <c r="K49" s="8">
        <v>2</v>
      </c>
      <c r="L49" s="8">
        <v>2</v>
      </c>
      <c r="M49" s="8">
        <v>2</v>
      </c>
      <c r="N49" s="8">
        <v>2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47">
        <v>0</v>
      </c>
      <c r="U49" s="55">
        <v>0</v>
      </c>
      <c r="V49" s="55">
        <v>0</v>
      </c>
      <c r="W49" s="55">
        <v>0</v>
      </c>
      <c r="X49" s="55">
        <v>0</v>
      </c>
      <c r="Y49" s="55">
        <v>0</v>
      </c>
    </row>
    <row r="50" spans="1:25">
      <c r="A50" s="27"/>
      <c r="B50" s="39"/>
      <c r="C50" s="44" t="s">
        <v>224</v>
      </c>
      <c r="D50" s="29"/>
      <c r="E50" s="30" t="s">
        <v>130</v>
      </c>
      <c r="F50" s="31"/>
      <c r="G50" s="8">
        <v>2</v>
      </c>
      <c r="H50" s="8">
        <v>2</v>
      </c>
      <c r="I50" s="8">
        <v>2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  <c r="Q50" s="8">
        <v>2</v>
      </c>
      <c r="R50" s="8">
        <v>2</v>
      </c>
      <c r="S50" s="8">
        <v>2</v>
      </c>
      <c r="T50" s="47">
        <v>0</v>
      </c>
      <c r="U50" s="55">
        <v>0</v>
      </c>
      <c r="V50" s="55">
        <v>0</v>
      </c>
      <c r="W50" s="55">
        <v>0</v>
      </c>
      <c r="X50" s="55">
        <v>0</v>
      </c>
      <c r="Y50" s="55">
        <v>0</v>
      </c>
    </row>
    <row r="51" spans="1:25">
      <c r="A51" s="27"/>
      <c r="B51" s="39"/>
      <c r="C51" s="44" t="s">
        <v>225</v>
      </c>
      <c r="D51" s="29"/>
      <c r="E51" s="30" t="s">
        <v>214</v>
      </c>
      <c r="F51" s="31"/>
      <c r="G51" s="8">
        <v>2</v>
      </c>
      <c r="H51" s="8">
        <v>2</v>
      </c>
      <c r="I51" s="8">
        <v>2</v>
      </c>
      <c r="J51" s="8">
        <v>2</v>
      </c>
      <c r="K51" s="8">
        <v>2</v>
      </c>
      <c r="L51" s="8">
        <v>2</v>
      </c>
      <c r="M51" s="8">
        <v>2</v>
      </c>
      <c r="N51" s="8">
        <v>2</v>
      </c>
      <c r="O51" s="8">
        <v>2</v>
      </c>
      <c r="P51" s="8">
        <v>2</v>
      </c>
      <c r="Q51" s="8">
        <v>2</v>
      </c>
      <c r="R51" s="8">
        <v>2</v>
      </c>
      <c r="S51" s="8">
        <v>2</v>
      </c>
      <c r="T51" s="47">
        <v>0</v>
      </c>
      <c r="U51" s="55">
        <v>0</v>
      </c>
      <c r="V51" s="55">
        <v>0</v>
      </c>
      <c r="W51" s="55">
        <v>0</v>
      </c>
      <c r="X51" s="55">
        <v>0</v>
      </c>
      <c r="Y51" s="55">
        <v>0</v>
      </c>
    </row>
    <row r="52" spans="1:25">
      <c r="A52" s="27"/>
      <c r="B52" s="39"/>
      <c r="C52" s="44" t="s">
        <v>226</v>
      </c>
      <c r="D52" s="29"/>
      <c r="E52" s="30" t="s">
        <v>64</v>
      </c>
      <c r="F52" s="31"/>
      <c r="G52" s="8">
        <v>2</v>
      </c>
      <c r="H52" s="8">
        <v>3</v>
      </c>
      <c r="I52" s="8">
        <v>3</v>
      </c>
      <c r="J52" s="8">
        <v>3</v>
      </c>
      <c r="K52" s="8">
        <v>3</v>
      </c>
      <c r="L52" s="8">
        <v>3</v>
      </c>
      <c r="M52" s="8">
        <v>3</v>
      </c>
      <c r="N52" s="8">
        <v>3</v>
      </c>
      <c r="O52" s="8">
        <v>3</v>
      </c>
      <c r="P52" s="8">
        <v>3</v>
      </c>
      <c r="Q52" s="8">
        <v>3</v>
      </c>
      <c r="R52" s="8">
        <v>3</v>
      </c>
      <c r="S52" s="8">
        <v>2</v>
      </c>
      <c r="T52" s="47">
        <v>0</v>
      </c>
      <c r="U52" s="55">
        <v>0</v>
      </c>
      <c r="V52" s="55">
        <v>0</v>
      </c>
      <c r="W52" s="55">
        <v>0</v>
      </c>
      <c r="X52" s="55">
        <v>0</v>
      </c>
      <c r="Y52" s="55">
        <v>0</v>
      </c>
    </row>
    <row r="53" spans="1:25">
      <c r="A53" s="27"/>
      <c r="B53" s="39"/>
      <c r="C53" s="44"/>
      <c r="D53" s="29"/>
      <c r="E53" s="30"/>
      <c r="F53" s="31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48">
        <v>1</v>
      </c>
      <c r="U53" s="8"/>
      <c r="V53" s="8"/>
      <c r="W53" s="8"/>
      <c r="X53" s="8"/>
      <c r="Y53" s="8"/>
    </row>
    <row r="54" spans="1:25">
      <c r="A54" s="27"/>
      <c r="B54" s="39"/>
      <c r="C54" s="44" t="s">
        <v>161</v>
      </c>
      <c r="D54" s="29"/>
      <c r="E54" s="30" t="s">
        <v>25</v>
      </c>
      <c r="F54" s="31"/>
      <c r="G54" s="8">
        <v>7</v>
      </c>
      <c r="H54" s="8">
        <v>10</v>
      </c>
      <c r="I54" s="8">
        <v>10</v>
      </c>
      <c r="J54" s="8">
        <v>10</v>
      </c>
      <c r="K54" s="8">
        <v>10</v>
      </c>
      <c r="L54" s="8">
        <v>10</v>
      </c>
      <c r="M54" s="8">
        <v>10</v>
      </c>
      <c r="N54" s="8">
        <v>10</v>
      </c>
      <c r="O54" s="8">
        <v>10</v>
      </c>
      <c r="P54" s="8">
        <v>10</v>
      </c>
      <c r="Q54" s="8">
        <v>10</v>
      </c>
      <c r="R54" s="8">
        <v>10</v>
      </c>
      <c r="S54" s="8">
        <v>10</v>
      </c>
      <c r="T54" s="8">
        <v>7</v>
      </c>
      <c r="U54" s="47">
        <v>0</v>
      </c>
      <c r="V54" s="55">
        <v>0</v>
      </c>
      <c r="W54" s="55">
        <v>0</v>
      </c>
      <c r="X54" s="55">
        <v>0</v>
      </c>
      <c r="Y54" s="55">
        <v>0</v>
      </c>
    </row>
    <row r="55" spans="1:25">
      <c r="A55" s="27"/>
      <c r="B55" s="40"/>
      <c r="C55" s="44"/>
      <c r="D55" s="29"/>
      <c r="E55" s="30"/>
      <c r="F55" s="31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48">
        <v>3</v>
      </c>
      <c r="V55" s="8"/>
      <c r="W55" s="8"/>
      <c r="X55" s="8"/>
      <c r="Y55" s="8"/>
    </row>
    <row r="56" spans="1:25">
      <c r="A56" s="27"/>
      <c r="B56" s="33" t="s">
        <v>79</v>
      </c>
      <c r="C56" s="28" t="s">
        <v>227</v>
      </c>
      <c r="D56" s="29"/>
      <c r="E56" s="30" t="s">
        <v>132</v>
      </c>
      <c r="F56" s="31"/>
      <c r="G56" s="8">
        <v>4</v>
      </c>
      <c r="H56" s="8">
        <v>4</v>
      </c>
      <c r="I56" s="8">
        <v>4</v>
      </c>
      <c r="J56" s="8">
        <v>4</v>
      </c>
      <c r="K56" s="8">
        <v>4</v>
      </c>
      <c r="L56" s="8">
        <v>4</v>
      </c>
      <c r="M56" s="8">
        <v>4</v>
      </c>
      <c r="N56" s="8">
        <v>4</v>
      </c>
      <c r="O56" s="8">
        <v>4</v>
      </c>
      <c r="P56" s="8">
        <v>4</v>
      </c>
      <c r="Q56" s="8">
        <v>4</v>
      </c>
      <c r="R56" s="8">
        <v>4</v>
      </c>
      <c r="S56" s="8">
        <v>4</v>
      </c>
      <c r="T56" s="8">
        <v>4</v>
      </c>
      <c r="U56" s="8">
        <v>4</v>
      </c>
      <c r="V56" s="47">
        <v>0</v>
      </c>
      <c r="W56" s="55">
        <v>0</v>
      </c>
      <c r="X56" s="55">
        <v>0</v>
      </c>
      <c r="Y56" s="55">
        <v>0</v>
      </c>
    </row>
    <row r="57" spans="1:25">
      <c r="A57" s="27"/>
      <c r="B57" s="39"/>
      <c r="C57" s="28" t="s">
        <v>228</v>
      </c>
      <c r="D57" s="29"/>
      <c r="E57" s="30" t="s">
        <v>132</v>
      </c>
      <c r="F57" s="31"/>
      <c r="G57" s="8">
        <v>1</v>
      </c>
      <c r="H57" s="8">
        <v>1</v>
      </c>
      <c r="I57" s="8">
        <v>1</v>
      </c>
      <c r="J57" s="8">
        <v>1</v>
      </c>
      <c r="K57" s="8">
        <v>1</v>
      </c>
      <c r="L57" s="8">
        <v>1</v>
      </c>
      <c r="M57" s="8">
        <v>1</v>
      </c>
      <c r="N57" s="8">
        <v>1</v>
      </c>
      <c r="O57" s="8">
        <v>1</v>
      </c>
      <c r="P57" s="8">
        <v>1</v>
      </c>
      <c r="Q57" s="8">
        <v>1</v>
      </c>
      <c r="R57" s="8">
        <v>1</v>
      </c>
      <c r="S57" s="8">
        <v>1</v>
      </c>
      <c r="T57" s="8">
        <v>1</v>
      </c>
      <c r="U57" s="8">
        <v>1</v>
      </c>
      <c r="V57" s="47">
        <v>0</v>
      </c>
      <c r="W57" s="55">
        <v>0</v>
      </c>
      <c r="X57" s="55">
        <v>0</v>
      </c>
      <c r="Y57" s="55">
        <v>0</v>
      </c>
    </row>
    <row r="58" spans="1:25">
      <c r="A58" s="27"/>
      <c r="B58" s="39"/>
      <c r="C58" s="28" t="s">
        <v>229</v>
      </c>
      <c r="D58" s="29"/>
      <c r="E58" s="30" t="s">
        <v>130</v>
      </c>
      <c r="F58" s="31"/>
      <c r="G58" s="8">
        <v>2</v>
      </c>
      <c r="H58" s="8">
        <v>2</v>
      </c>
      <c r="I58" s="8">
        <v>2</v>
      </c>
      <c r="J58" s="8">
        <v>2</v>
      </c>
      <c r="K58" s="8">
        <v>2</v>
      </c>
      <c r="L58" s="8">
        <v>2</v>
      </c>
      <c r="M58" s="8">
        <v>2</v>
      </c>
      <c r="N58" s="8">
        <v>2</v>
      </c>
      <c r="O58" s="8">
        <v>2</v>
      </c>
      <c r="P58" s="8">
        <v>2</v>
      </c>
      <c r="Q58" s="8">
        <v>2</v>
      </c>
      <c r="R58" s="8">
        <v>2</v>
      </c>
      <c r="S58" s="8">
        <v>2</v>
      </c>
      <c r="T58" s="8">
        <v>2</v>
      </c>
      <c r="U58" s="8">
        <v>2</v>
      </c>
      <c r="V58" s="47">
        <v>0</v>
      </c>
      <c r="W58" s="55">
        <v>0</v>
      </c>
      <c r="X58" s="55">
        <v>0</v>
      </c>
      <c r="Y58" s="55">
        <v>0</v>
      </c>
    </row>
    <row r="59" spans="1:25">
      <c r="A59" s="27"/>
      <c r="B59" s="39"/>
      <c r="C59" s="28" t="s">
        <v>230</v>
      </c>
      <c r="D59" s="29"/>
      <c r="E59" s="30" t="s">
        <v>130</v>
      </c>
      <c r="F59" s="31"/>
      <c r="G59" s="8">
        <v>2</v>
      </c>
      <c r="H59" s="8">
        <v>2</v>
      </c>
      <c r="I59" s="8">
        <v>2</v>
      </c>
      <c r="J59" s="8">
        <v>2</v>
      </c>
      <c r="K59" s="8">
        <v>2</v>
      </c>
      <c r="L59" s="8">
        <v>2</v>
      </c>
      <c r="M59" s="8">
        <v>2</v>
      </c>
      <c r="N59" s="8">
        <v>2</v>
      </c>
      <c r="O59" s="8">
        <v>2</v>
      </c>
      <c r="P59" s="8">
        <v>2</v>
      </c>
      <c r="Q59" s="8">
        <v>2</v>
      </c>
      <c r="R59" s="8">
        <v>2</v>
      </c>
      <c r="S59" s="8">
        <v>2</v>
      </c>
      <c r="T59" s="8">
        <v>2</v>
      </c>
      <c r="U59" s="8">
        <v>2</v>
      </c>
      <c r="V59" s="47">
        <v>0</v>
      </c>
      <c r="W59" s="55">
        <v>0</v>
      </c>
      <c r="X59" s="55">
        <v>0</v>
      </c>
      <c r="Y59" s="55">
        <v>0</v>
      </c>
    </row>
    <row r="60" spans="1:25">
      <c r="A60" s="27"/>
      <c r="B60" s="39"/>
      <c r="C60" s="28" t="s">
        <v>231</v>
      </c>
      <c r="D60" s="29"/>
      <c r="E60" s="30" t="s">
        <v>130</v>
      </c>
      <c r="F60" s="31"/>
      <c r="G60" s="8">
        <v>2</v>
      </c>
      <c r="H60" s="8">
        <v>2</v>
      </c>
      <c r="I60" s="8">
        <v>2</v>
      </c>
      <c r="J60" s="8">
        <v>2</v>
      </c>
      <c r="K60" s="8">
        <v>2</v>
      </c>
      <c r="L60" s="8">
        <v>2</v>
      </c>
      <c r="M60" s="8">
        <v>2</v>
      </c>
      <c r="N60" s="8">
        <v>2</v>
      </c>
      <c r="O60" s="8">
        <v>2</v>
      </c>
      <c r="P60" s="8">
        <v>2</v>
      </c>
      <c r="Q60" s="8">
        <v>2</v>
      </c>
      <c r="R60" s="8">
        <v>2</v>
      </c>
      <c r="S60" s="8">
        <v>2</v>
      </c>
      <c r="T60" s="8">
        <v>2</v>
      </c>
      <c r="U60" s="8">
        <v>2</v>
      </c>
      <c r="V60" s="47">
        <v>0</v>
      </c>
      <c r="W60" s="55">
        <v>0</v>
      </c>
      <c r="X60" s="55">
        <v>0</v>
      </c>
      <c r="Y60" s="55">
        <v>0</v>
      </c>
    </row>
    <row r="61" spans="1:25">
      <c r="A61" s="27"/>
      <c r="B61" s="39"/>
      <c r="C61" s="28" t="s">
        <v>232</v>
      </c>
      <c r="D61" s="29"/>
      <c r="E61" s="30" t="s">
        <v>132</v>
      </c>
      <c r="F61" s="31"/>
      <c r="G61" s="8">
        <v>3</v>
      </c>
      <c r="H61" s="8">
        <v>2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8">
        <v>2</v>
      </c>
      <c r="P61" s="8">
        <v>2</v>
      </c>
      <c r="Q61" s="8">
        <v>2</v>
      </c>
      <c r="R61" s="8">
        <v>2</v>
      </c>
      <c r="S61" s="8">
        <v>2</v>
      </c>
      <c r="T61" s="8">
        <v>2</v>
      </c>
      <c r="U61" s="8">
        <v>3</v>
      </c>
      <c r="V61" s="47">
        <v>0</v>
      </c>
      <c r="W61" s="55">
        <v>0</v>
      </c>
      <c r="X61" s="55">
        <v>0</v>
      </c>
      <c r="Y61" s="55">
        <v>0</v>
      </c>
    </row>
    <row r="62" spans="1:25">
      <c r="A62" s="27"/>
      <c r="B62" s="39"/>
      <c r="C62" s="28"/>
      <c r="D62" s="29"/>
      <c r="E62" s="30"/>
      <c r="F62" s="31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56">
        <v>1</v>
      </c>
      <c r="W62" s="8"/>
      <c r="X62" s="8"/>
      <c r="Y62" s="8"/>
    </row>
    <row r="63" spans="1:25">
      <c r="A63" s="27"/>
      <c r="B63" s="40"/>
      <c r="C63" s="28" t="s">
        <v>233</v>
      </c>
      <c r="D63" s="29"/>
      <c r="E63" s="30" t="s">
        <v>132</v>
      </c>
      <c r="F63" s="31"/>
      <c r="G63" s="8">
        <v>2</v>
      </c>
      <c r="H63" s="8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v>2</v>
      </c>
      <c r="T63" s="8">
        <v>2</v>
      </c>
      <c r="U63" s="8">
        <v>2</v>
      </c>
      <c r="V63" s="47">
        <v>0</v>
      </c>
      <c r="W63" s="55">
        <v>0</v>
      </c>
      <c r="X63" s="55">
        <v>0</v>
      </c>
      <c r="Y63" s="55">
        <v>0</v>
      </c>
    </row>
    <row r="64" spans="1:25">
      <c r="A64" s="27"/>
      <c r="B64" s="33" t="s">
        <v>90</v>
      </c>
      <c r="C64" s="44" t="s">
        <v>234</v>
      </c>
      <c r="D64" s="29"/>
      <c r="E64" s="30" t="s">
        <v>220</v>
      </c>
      <c r="F64" s="31"/>
      <c r="G64" s="8">
        <v>2</v>
      </c>
      <c r="H64" s="8">
        <v>3</v>
      </c>
      <c r="I64" s="8">
        <v>3</v>
      </c>
      <c r="J64" s="8">
        <v>3</v>
      </c>
      <c r="K64" s="8">
        <v>3</v>
      </c>
      <c r="L64" s="8">
        <v>3</v>
      </c>
      <c r="M64" s="8">
        <v>3</v>
      </c>
      <c r="N64" s="8">
        <v>3</v>
      </c>
      <c r="O64" s="8">
        <v>3</v>
      </c>
      <c r="P64" s="8">
        <v>3</v>
      </c>
      <c r="Q64" s="8">
        <v>3</v>
      </c>
      <c r="R64" s="8">
        <v>3</v>
      </c>
      <c r="S64" s="8">
        <v>3</v>
      </c>
      <c r="T64" s="8">
        <v>3</v>
      </c>
      <c r="U64" s="8">
        <v>3</v>
      </c>
      <c r="V64" s="8">
        <v>2</v>
      </c>
      <c r="W64" s="47">
        <v>0</v>
      </c>
      <c r="X64" s="55">
        <v>0</v>
      </c>
      <c r="Y64" s="55">
        <v>0</v>
      </c>
    </row>
    <row r="65" spans="1:25">
      <c r="A65" s="27"/>
      <c r="B65" s="39"/>
      <c r="C65" s="60"/>
      <c r="D65" s="60"/>
      <c r="E65" s="30"/>
      <c r="F65" s="31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48">
        <v>1</v>
      </c>
      <c r="X65" s="55">
        <v>0</v>
      </c>
      <c r="Y65" s="55">
        <v>0</v>
      </c>
    </row>
    <row r="66" spans="1:25">
      <c r="A66" s="27"/>
      <c r="B66" s="39"/>
      <c r="C66" s="44" t="s">
        <v>235</v>
      </c>
      <c r="D66" s="29"/>
      <c r="E66" s="30" t="s">
        <v>27</v>
      </c>
      <c r="F66" s="31"/>
      <c r="G66" s="8">
        <v>1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  <c r="M66" s="8">
        <v>1</v>
      </c>
      <c r="N66" s="8">
        <v>1</v>
      </c>
      <c r="O66" s="8">
        <v>1</v>
      </c>
      <c r="P66" s="8">
        <v>1</v>
      </c>
      <c r="Q66" s="8">
        <v>1</v>
      </c>
      <c r="R66" s="8">
        <v>1</v>
      </c>
      <c r="S66" s="8">
        <v>1</v>
      </c>
      <c r="T66" s="8">
        <v>1</v>
      </c>
      <c r="U66" s="8">
        <v>1</v>
      </c>
      <c r="V66" s="8">
        <v>1</v>
      </c>
      <c r="W66" s="47">
        <v>0</v>
      </c>
      <c r="X66" s="55">
        <v>0</v>
      </c>
      <c r="Y66" s="55">
        <v>0</v>
      </c>
    </row>
    <row r="67" spans="1:25">
      <c r="A67" s="27"/>
      <c r="B67" s="39"/>
      <c r="C67" s="44" t="s">
        <v>236</v>
      </c>
      <c r="D67" s="29"/>
      <c r="E67" s="30" t="s">
        <v>220</v>
      </c>
      <c r="F67" s="31"/>
      <c r="G67" s="8">
        <v>1</v>
      </c>
      <c r="H67" s="8">
        <v>1</v>
      </c>
      <c r="I67" s="8">
        <v>1</v>
      </c>
      <c r="J67" s="8">
        <v>1</v>
      </c>
      <c r="K67" s="8">
        <v>1</v>
      </c>
      <c r="L67" s="8">
        <v>1</v>
      </c>
      <c r="M67" s="8">
        <v>1</v>
      </c>
      <c r="N67" s="8">
        <v>1</v>
      </c>
      <c r="O67" s="8">
        <v>1</v>
      </c>
      <c r="P67" s="8">
        <v>1</v>
      </c>
      <c r="Q67" s="8">
        <v>1</v>
      </c>
      <c r="R67" s="8">
        <v>1</v>
      </c>
      <c r="S67" s="8">
        <v>1</v>
      </c>
      <c r="T67" s="8">
        <v>1</v>
      </c>
      <c r="U67" s="8">
        <v>1</v>
      </c>
      <c r="V67" s="8">
        <v>1</v>
      </c>
      <c r="W67" s="47">
        <v>0</v>
      </c>
      <c r="X67" s="55">
        <v>0</v>
      </c>
      <c r="Y67" s="55">
        <v>0</v>
      </c>
    </row>
    <row r="68" spans="1:25">
      <c r="A68" s="27"/>
      <c r="B68" s="39"/>
      <c r="C68" s="44" t="s">
        <v>237</v>
      </c>
      <c r="D68" s="29"/>
      <c r="E68" s="30" t="s">
        <v>27</v>
      </c>
      <c r="F68" s="31"/>
      <c r="G68" s="8">
        <v>2</v>
      </c>
      <c r="H68" s="8">
        <v>2</v>
      </c>
      <c r="I68" s="8">
        <v>2</v>
      </c>
      <c r="J68" s="8">
        <v>2</v>
      </c>
      <c r="K68" s="8">
        <v>2</v>
      </c>
      <c r="L68" s="8">
        <v>2</v>
      </c>
      <c r="M68" s="8">
        <v>2</v>
      </c>
      <c r="N68" s="8">
        <v>2</v>
      </c>
      <c r="O68" s="8">
        <v>2</v>
      </c>
      <c r="P68" s="8">
        <v>2</v>
      </c>
      <c r="Q68" s="8">
        <v>2</v>
      </c>
      <c r="R68" s="8">
        <v>2</v>
      </c>
      <c r="S68" s="8">
        <v>2</v>
      </c>
      <c r="T68" s="8">
        <v>2</v>
      </c>
      <c r="U68" s="8">
        <v>2</v>
      </c>
      <c r="V68" s="8">
        <v>2</v>
      </c>
      <c r="W68" s="47">
        <v>0</v>
      </c>
      <c r="X68" s="55">
        <v>0</v>
      </c>
      <c r="Y68" s="55">
        <v>0</v>
      </c>
    </row>
    <row r="69" spans="1:25">
      <c r="A69" s="27"/>
      <c r="B69" s="39"/>
      <c r="C69" s="44" t="s">
        <v>238</v>
      </c>
      <c r="D69" s="29"/>
      <c r="E69" s="30" t="s">
        <v>220</v>
      </c>
      <c r="F69" s="31"/>
      <c r="G69" s="8">
        <v>2</v>
      </c>
      <c r="H69" s="8">
        <v>2</v>
      </c>
      <c r="I69" s="8">
        <v>2</v>
      </c>
      <c r="J69" s="8">
        <v>2</v>
      </c>
      <c r="K69" s="8">
        <v>2</v>
      </c>
      <c r="L69" s="8">
        <v>2</v>
      </c>
      <c r="M69" s="8">
        <v>2</v>
      </c>
      <c r="N69" s="8">
        <v>2</v>
      </c>
      <c r="O69" s="8">
        <v>2</v>
      </c>
      <c r="P69" s="8">
        <v>2</v>
      </c>
      <c r="Q69" s="8">
        <v>2</v>
      </c>
      <c r="R69" s="8">
        <v>2</v>
      </c>
      <c r="S69" s="8">
        <v>2</v>
      </c>
      <c r="T69" s="8">
        <v>2</v>
      </c>
      <c r="U69" s="8">
        <v>2</v>
      </c>
      <c r="V69" s="8">
        <v>2</v>
      </c>
      <c r="W69" s="47">
        <v>0</v>
      </c>
      <c r="X69" s="55">
        <v>0</v>
      </c>
      <c r="Y69" s="55">
        <v>0</v>
      </c>
    </row>
    <row r="70" spans="1:25">
      <c r="A70" s="27"/>
      <c r="B70" s="39"/>
      <c r="C70" s="44" t="s">
        <v>239</v>
      </c>
      <c r="D70" s="29"/>
      <c r="E70" s="30" t="s">
        <v>220</v>
      </c>
      <c r="F70" s="31"/>
      <c r="G70" s="8">
        <v>1</v>
      </c>
      <c r="H70" s="8">
        <v>1</v>
      </c>
      <c r="I70" s="8">
        <v>1</v>
      </c>
      <c r="J70" s="8">
        <v>1</v>
      </c>
      <c r="K70" s="8">
        <v>1</v>
      </c>
      <c r="L70" s="8">
        <v>1</v>
      </c>
      <c r="M70" s="8">
        <v>1</v>
      </c>
      <c r="N70" s="8">
        <v>1</v>
      </c>
      <c r="O70" s="8">
        <v>1</v>
      </c>
      <c r="P70" s="8">
        <v>1</v>
      </c>
      <c r="Q70" s="8">
        <v>1</v>
      </c>
      <c r="R70" s="8">
        <v>1</v>
      </c>
      <c r="S70" s="8">
        <v>1</v>
      </c>
      <c r="T70" s="8">
        <v>1</v>
      </c>
      <c r="U70" s="8">
        <v>1</v>
      </c>
      <c r="V70" s="8">
        <v>1</v>
      </c>
      <c r="W70" s="47">
        <v>0</v>
      </c>
      <c r="X70" s="55">
        <v>0</v>
      </c>
      <c r="Y70" s="55">
        <v>0</v>
      </c>
    </row>
    <row r="71" spans="1:25">
      <c r="A71" s="27"/>
      <c r="B71" s="39"/>
      <c r="C71" s="44" t="s">
        <v>240</v>
      </c>
      <c r="D71" s="29"/>
      <c r="E71" s="30" t="s">
        <v>27</v>
      </c>
      <c r="F71" s="31"/>
      <c r="G71" s="8">
        <v>1</v>
      </c>
      <c r="H71" s="8">
        <v>2</v>
      </c>
      <c r="I71" s="8">
        <v>2</v>
      </c>
      <c r="J71" s="8">
        <v>2</v>
      </c>
      <c r="K71" s="8">
        <v>2</v>
      </c>
      <c r="L71" s="8">
        <v>2</v>
      </c>
      <c r="M71" s="8">
        <v>2</v>
      </c>
      <c r="N71" s="8">
        <v>2</v>
      </c>
      <c r="O71" s="8">
        <v>2</v>
      </c>
      <c r="P71" s="8">
        <v>2</v>
      </c>
      <c r="Q71" s="8">
        <v>2</v>
      </c>
      <c r="R71" s="8">
        <v>2</v>
      </c>
      <c r="S71" s="8">
        <v>2</v>
      </c>
      <c r="T71" s="8">
        <v>2</v>
      </c>
      <c r="U71" s="8">
        <v>2</v>
      </c>
      <c r="V71" s="8">
        <v>1</v>
      </c>
      <c r="W71" s="47">
        <v>0</v>
      </c>
      <c r="X71" s="55">
        <v>0</v>
      </c>
      <c r="Y71" s="55">
        <v>0</v>
      </c>
    </row>
    <row r="72" spans="1:25">
      <c r="A72" s="27"/>
      <c r="B72" s="39"/>
      <c r="C72" s="44"/>
      <c r="D72" s="29"/>
      <c r="E72" s="30"/>
      <c r="F72" s="31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48">
        <v>1</v>
      </c>
      <c r="X72" s="55">
        <v>0</v>
      </c>
      <c r="Y72" s="55">
        <v>0</v>
      </c>
    </row>
    <row r="73" spans="1:25">
      <c r="A73" s="27"/>
      <c r="B73" s="33" t="s">
        <v>102</v>
      </c>
      <c r="C73" s="44" t="s">
        <v>241</v>
      </c>
      <c r="D73" s="29"/>
      <c r="E73" s="30" t="s">
        <v>132</v>
      </c>
      <c r="F73" s="31"/>
      <c r="G73" s="8">
        <v>2</v>
      </c>
      <c r="H73" s="8">
        <v>2</v>
      </c>
      <c r="I73" s="8">
        <v>2</v>
      </c>
      <c r="J73" s="8">
        <v>2</v>
      </c>
      <c r="K73" s="8">
        <v>2</v>
      </c>
      <c r="L73" s="8">
        <v>2</v>
      </c>
      <c r="M73" s="8">
        <v>2</v>
      </c>
      <c r="N73" s="8">
        <v>2</v>
      </c>
      <c r="O73" s="8">
        <v>2</v>
      </c>
      <c r="P73" s="8">
        <v>2</v>
      </c>
      <c r="Q73" s="8">
        <v>2</v>
      </c>
      <c r="R73" s="8">
        <v>2</v>
      </c>
      <c r="S73" s="8">
        <v>2</v>
      </c>
      <c r="T73" s="8">
        <v>2</v>
      </c>
      <c r="U73" s="8">
        <v>2</v>
      </c>
      <c r="V73" s="8">
        <v>2</v>
      </c>
      <c r="W73" s="8">
        <v>2</v>
      </c>
      <c r="X73" s="47">
        <v>0</v>
      </c>
      <c r="Y73" s="55">
        <v>0</v>
      </c>
    </row>
    <row r="74" spans="1:25">
      <c r="A74" s="27"/>
      <c r="B74" s="39"/>
      <c r="C74" s="44" t="s">
        <v>242</v>
      </c>
      <c r="D74" s="29"/>
      <c r="E74" s="30" t="s">
        <v>132</v>
      </c>
      <c r="F74" s="31"/>
      <c r="G74" s="8">
        <v>2</v>
      </c>
      <c r="H74" s="8">
        <v>2</v>
      </c>
      <c r="I74" s="8">
        <v>2</v>
      </c>
      <c r="J74" s="8">
        <v>2</v>
      </c>
      <c r="K74" s="8">
        <v>2</v>
      </c>
      <c r="L74" s="8">
        <v>2</v>
      </c>
      <c r="M74" s="8">
        <v>2</v>
      </c>
      <c r="N74" s="8">
        <v>2</v>
      </c>
      <c r="O74" s="8">
        <v>2</v>
      </c>
      <c r="P74" s="8">
        <v>2</v>
      </c>
      <c r="Q74" s="8">
        <v>2</v>
      </c>
      <c r="R74" s="8">
        <v>2</v>
      </c>
      <c r="S74" s="8">
        <v>2</v>
      </c>
      <c r="T74" s="8">
        <v>2</v>
      </c>
      <c r="U74" s="8">
        <v>2</v>
      </c>
      <c r="V74" s="8">
        <v>2</v>
      </c>
      <c r="W74" s="8">
        <v>2</v>
      </c>
      <c r="X74" s="47">
        <v>0</v>
      </c>
      <c r="Y74" s="55">
        <v>0</v>
      </c>
    </row>
    <row r="75" spans="1:25">
      <c r="A75" s="27"/>
      <c r="B75" s="39"/>
      <c r="C75" s="44" t="s">
        <v>243</v>
      </c>
      <c r="D75" s="29"/>
      <c r="E75" s="30" t="s">
        <v>130</v>
      </c>
      <c r="F75" s="31"/>
      <c r="G75" s="8">
        <v>1</v>
      </c>
      <c r="H75" s="8">
        <v>1</v>
      </c>
      <c r="I75" s="8">
        <v>1</v>
      </c>
      <c r="J75" s="8">
        <v>1</v>
      </c>
      <c r="K75" s="8">
        <v>1</v>
      </c>
      <c r="L75" s="8">
        <v>1</v>
      </c>
      <c r="M75" s="8">
        <v>1</v>
      </c>
      <c r="N75" s="8">
        <v>1</v>
      </c>
      <c r="O75" s="8">
        <v>1</v>
      </c>
      <c r="P75" s="8">
        <v>1</v>
      </c>
      <c r="Q75" s="8">
        <v>1</v>
      </c>
      <c r="R75" s="8">
        <v>1</v>
      </c>
      <c r="S75" s="8">
        <v>1</v>
      </c>
      <c r="T75" s="8">
        <v>1</v>
      </c>
      <c r="U75" s="8">
        <v>1</v>
      </c>
      <c r="V75" s="8">
        <v>1</v>
      </c>
      <c r="W75" s="8">
        <v>1</v>
      </c>
      <c r="X75" s="47">
        <v>0</v>
      </c>
      <c r="Y75" s="55">
        <v>0</v>
      </c>
    </row>
    <row r="76" spans="1:25">
      <c r="A76" s="27"/>
      <c r="B76" s="39"/>
      <c r="C76" s="44" t="s">
        <v>244</v>
      </c>
      <c r="D76" s="29"/>
      <c r="E76" s="30" t="s">
        <v>130</v>
      </c>
      <c r="F76" s="31"/>
      <c r="G76" s="8">
        <v>1</v>
      </c>
      <c r="H76" s="8">
        <v>1</v>
      </c>
      <c r="I76" s="8">
        <v>1</v>
      </c>
      <c r="J76" s="8">
        <v>1</v>
      </c>
      <c r="K76" s="8">
        <v>1</v>
      </c>
      <c r="L76" s="8">
        <v>1</v>
      </c>
      <c r="M76" s="8">
        <v>1</v>
      </c>
      <c r="N76" s="8">
        <v>1</v>
      </c>
      <c r="O76" s="8">
        <v>1</v>
      </c>
      <c r="P76" s="8">
        <v>1</v>
      </c>
      <c r="Q76" s="8">
        <v>1</v>
      </c>
      <c r="R76" s="8">
        <v>1</v>
      </c>
      <c r="S76" s="8">
        <v>1</v>
      </c>
      <c r="T76" s="8">
        <v>1</v>
      </c>
      <c r="U76" s="8">
        <v>1</v>
      </c>
      <c r="V76" s="8">
        <v>1</v>
      </c>
      <c r="W76" s="8">
        <v>1</v>
      </c>
      <c r="X76" s="47">
        <v>0</v>
      </c>
      <c r="Y76" s="55">
        <v>0</v>
      </c>
    </row>
    <row r="77" spans="1:25">
      <c r="A77" s="27"/>
      <c r="B77" s="39"/>
      <c r="C77" s="44" t="s">
        <v>245</v>
      </c>
      <c r="D77" s="29"/>
      <c r="E77" s="30" t="s">
        <v>130</v>
      </c>
      <c r="F77" s="31"/>
      <c r="G77" s="8">
        <v>2</v>
      </c>
      <c r="H77" s="8">
        <v>2</v>
      </c>
      <c r="I77" s="8">
        <v>2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2</v>
      </c>
      <c r="Q77" s="8">
        <v>2</v>
      </c>
      <c r="R77" s="8">
        <v>2</v>
      </c>
      <c r="S77" s="8">
        <v>2</v>
      </c>
      <c r="T77" s="8">
        <v>2</v>
      </c>
      <c r="U77" s="8">
        <v>2</v>
      </c>
      <c r="V77" s="8">
        <v>2</v>
      </c>
      <c r="W77" s="8">
        <v>2</v>
      </c>
      <c r="X77" s="47">
        <v>0</v>
      </c>
      <c r="Y77" s="55">
        <v>0</v>
      </c>
    </row>
    <row r="78" spans="1:25">
      <c r="A78" s="27"/>
      <c r="B78" s="39"/>
      <c r="C78" s="44" t="s">
        <v>246</v>
      </c>
      <c r="D78" s="29"/>
      <c r="E78" s="30" t="s">
        <v>132</v>
      </c>
      <c r="F78" s="31"/>
      <c r="G78" s="8">
        <v>2</v>
      </c>
      <c r="H78" s="8">
        <v>2</v>
      </c>
      <c r="I78" s="8">
        <v>2</v>
      </c>
      <c r="J78" s="8">
        <v>2</v>
      </c>
      <c r="K78" s="8">
        <v>2</v>
      </c>
      <c r="L78" s="8">
        <v>2</v>
      </c>
      <c r="M78" s="8">
        <v>2</v>
      </c>
      <c r="N78" s="8">
        <v>2</v>
      </c>
      <c r="O78" s="8">
        <v>2</v>
      </c>
      <c r="P78" s="8">
        <v>2</v>
      </c>
      <c r="Q78" s="8">
        <v>2</v>
      </c>
      <c r="R78" s="8">
        <v>2</v>
      </c>
      <c r="S78" s="8">
        <v>2</v>
      </c>
      <c r="T78" s="8">
        <v>2</v>
      </c>
      <c r="U78" s="8">
        <v>2</v>
      </c>
      <c r="V78" s="8">
        <v>2</v>
      </c>
      <c r="W78" s="8">
        <v>2</v>
      </c>
      <c r="X78" s="47">
        <v>0</v>
      </c>
      <c r="Y78" s="55">
        <v>0</v>
      </c>
    </row>
    <row r="79" spans="1:25">
      <c r="A79" s="27"/>
      <c r="B79" s="39"/>
      <c r="C79" s="44" t="s">
        <v>247</v>
      </c>
      <c r="D79" s="29"/>
      <c r="E79" s="30" t="s">
        <v>132</v>
      </c>
      <c r="F79" s="31"/>
      <c r="G79" s="8">
        <v>2</v>
      </c>
      <c r="H79" s="8">
        <v>2</v>
      </c>
      <c r="I79" s="8">
        <v>2</v>
      </c>
      <c r="J79" s="8">
        <v>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2</v>
      </c>
      <c r="Q79" s="8">
        <v>2</v>
      </c>
      <c r="R79" s="8">
        <v>2</v>
      </c>
      <c r="S79" s="8">
        <v>2</v>
      </c>
      <c r="T79" s="8">
        <v>2</v>
      </c>
      <c r="U79" s="8">
        <v>2</v>
      </c>
      <c r="V79" s="8">
        <v>2</v>
      </c>
      <c r="W79" s="8">
        <v>2</v>
      </c>
      <c r="X79" s="47">
        <v>0</v>
      </c>
      <c r="Y79" s="55">
        <v>0</v>
      </c>
    </row>
    <row r="80" spans="1:25">
      <c r="A80" s="27"/>
      <c r="B80" s="33" t="s">
        <v>248</v>
      </c>
      <c r="C80" s="44" t="s">
        <v>249</v>
      </c>
      <c r="D80" s="29"/>
      <c r="E80" s="30" t="s">
        <v>25</v>
      </c>
      <c r="F80" s="31"/>
      <c r="G80" s="8">
        <v>5</v>
      </c>
      <c r="H80" s="8">
        <v>5</v>
      </c>
      <c r="I80" s="8">
        <v>5</v>
      </c>
      <c r="J80" s="8">
        <v>5</v>
      </c>
      <c r="K80" s="8">
        <v>5</v>
      </c>
      <c r="L80" s="8">
        <v>5</v>
      </c>
      <c r="M80" s="8">
        <v>5</v>
      </c>
      <c r="N80" s="8">
        <v>5</v>
      </c>
      <c r="O80" s="8">
        <v>5</v>
      </c>
      <c r="P80" s="8">
        <v>5</v>
      </c>
      <c r="Q80" s="8">
        <v>5</v>
      </c>
      <c r="R80" s="8">
        <v>5</v>
      </c>
      <c r="S80" s="8">
        <v>5</v>
      </c>
      <c r="T80" s="8">
        <v>5</v>
      </c>
      <c r="U80" s="8">
        <v>5</v>
      </c>
      <c r="V80" s="8">
        <v>5</v>
      </c>
      <c r="W80" s="8">
        <v>5</v>
      </c>
      <c r="X80" s="8">
        <v>5</v>
      </c>
      <c r="Y80" s="47">
        <v>0</v>
      </c>
    </row>
    <row r="81" spans="1:25">
      <c r="A81" s="27"/>
      <c r="B81" s="40"/>
      <c r="C81" s="44" t="s">
        <v>250</v>
      </c>
      <c r="D81" s="29"/>
      <c r="E81" s="30" t="s">
        <v>25</v>
      </c>
      <c r="F81" s="31"/>
      <c r="G81" s="8">
        <v>5</v>
      </c>
      <c r="H81" s="8">
        <v>5</v>
      </c>
      <c r="I81" s="8">
        <v>5</v>
      </c>
      <c r="J81" s="8">
        <v>5</v>
      </c>
      <c r="K81" s="8">
        <v>5</v>
      </c>
      <c r="L81" s="8">
        <v>5</v>
      </c>
      <c r="M81" s="8">
        <v>5</v>
      </c>
      <c r="N81" s="8">
        <v>5</v>
      </c>
      <c r="O81" s="8">
        <v>5</v>
      </c>
      <c r="P81" s="8">
        <v>5</v>
      </c>
      <c r="Q81" s="8">
        <v>5</v>
      </c>
      <c r="R81" s="8">
        <v>5</v>
      </c>
      <c r="S81" s="8">
        <v>5</v>
      </c>
      <c r="T81" s="8">
        <v>5</v>
      </c>
      <c r="U81" s="8">
        <v>5</v>
      </c>
      <c r="V81" s="8">
        <v>5</v>
      </c>
      <c r="W81" s="8">
        <v>5</v>
      </c>
      <c r="X81" s="8">
        <v>5</v>
      </c>
      <c r="Y81" s="47">
        <v>0</v>
      </c>
    </row>
    <row r="82" spans="1:25">
      <c r="A82" s="27"/>
      <c r="B82" s="62" t="s">
        <v>19</v>
      </c>
      <c r="C82" s="62"/>
      <c r="D82" s="63"/>
      <c r="E82" s="64" t="s">
        <v>12</v>
      </c>
      <c r="F82" s="65"/>
      <c r="G82" s="30">
        <f>SUM(G14:G81)</f>
        <v>149</v>
      </c>
      <c r="H82" s="31"/>
      <c r="I82" s="8">
        <f>SUM(I16:I81)</f>
        <v>162</v>
      </c>
      <c r="J82" s="8">
        <f>SUM(J16:J81)-J18</f>
        <v>149</v>
      </c>
      <c r="K82" s="8">
        <f t="shared" ref="K82:Y82" si="0">SUM(K16:K81)</f>
        <v>140</v>
      </c>
      <c r="L82" s="8">
        <f t="shared" si="0"/>
        <v>130</v>
      </c>
      <c r="M82" s="8">
        <f>SUM(M16:M81)-M28</f>
        <v>123</v>
      </c>
      <c r="N82" s="8">
        <f t="shared" si="0"/>
        <v>115</v>
      </c>
      <c r="O82" s="8">
        <f>SUM(O16:O81)-O36</f>
        <v>107</v>
      </c>
      <c r="P82" s="8">
        <f>SUM(P16:P81)-P38</f>
        <v>99</v>
      </c>
      <c r="Q82" s="8">
        <f t="shared" si="0"/>
        <v>87</v>
      </c>
      <c r="R82" s="8">
        <f t="shared" si="0"/>
        <v>79</v>
      </c>
      <c r="S82" s="8">
        <f t="shared" si="0"/>
        <v>67</v>
      </c>
      <c r="T82" s="8">
        <f>SUM(T16:T81)-T53</f>
        <v>56</v>
      </c>
      <c r="U82" s="8">
        <f>SUM(U16:U81)-U55</f>
        <v>50</v>
      </c>
      <c r="V82" s="8">
        <f>SUM(V16:V81)+V62</f>
        <v>34</v>
      </c>
      <c r="W82" s="8">
        <f>SUM(W16:W81)-W65-W72</f>
        <v>22</v>
      </c>
      <c r="X82" s="8">
        <f t="shared" si="0"/>
        <v>10</v>
      </c>
      <c r="Y82" s="8">
        <f t="shared" si="0"/>
        <v>0</v>
      </c>
    </row>
    <row r="83" spans="1:25">
      <c r="A83" s="27"/>
      <c r="B83" s="66"/>
      <c r="C83" s="66"/>
      <c r="D83" s="67"/>
      <c r="E83" s="64" t="s">
        <v>13</v>
      </c>
      <c r="F83" s="65"/>
      <c r="G83" s="30">
        <f>SUM(H14:H81)</f>
        <v>163</v>
      </c>
      <c r="H83" s="31"/>
      <c r="I83" s="8">
        <f>SUM(I16:I81)+J18</f>
        <v>163</v>
      </c>
      <c r="J83" s="8">
        <f>SUM(J16:J81)-J18</f>
        <v>149</v>
      </c>
      <c r="K83" s="8">
        <f>SUM(K16:K81)</f>
        <v>140</v>
      </c>
      <c r="L83" s="8">
        <f>SUM(L16:L81)+M28</f>
        <v>133</v>
      </c>
      <c r="M83" s="8">
        <f>SUM(M16:M81)-M28</f>
        <v>123</v>
      </c>
      <c r="N83" s="8">
        <f>SUM(N16:N81)+O36</f>
        <v>116</v>
      </c>
      <c r="O83" s="8">
        <f>SUM(O16:O81)-O36+P38</f>
        <v>109</v>
      </c>
      <c r="P83" s="8">
        <f>SUM(P16:P81)-P38</f>
        <v>99</v>
      </c>
      <c r="Q83" s="8">
        <f t="shared" ref="Q83:Y83" si="1">SUM(Q16:Q81)</f>
        <v>87</v>
      </c>
      <c r="R83" s="8">
        <f t="shared" si="1"/>
        <v>79</v>
      </c>
      <c r="S83" s="8">
        <f>SUM(S16:S81)+T53</f>
        <v>68</v>
      </c>
      <c r="T83" s="8">
        <f>SUM(T16:T81)-T53+U55</f>
        <v>59</v>
      </c>
      <c r="U83" s="8">
        <f>SUM(U16:U81)-U55-V62</f>
        <v>49</v>
      </c>
      <c r="V83" s="8">
        <f>SUM(V16:V81)+V62+W65+W72</f>
        <v>36</v>
      </c>
      <c r="W83" s="8">
        <f>SUM(W16:W81)-W72-W65</f>
        <v>22</v>
      </c>
      <c r="X83" s="8">
        <f t="shared" si="1"/>
        <v>10</v>
      </c>
      <c r="Y83" s="8">
        <f t="shared" si="1"/>
        <v>0</v>
      </c>
    </row>
    <row r="84" spans="1:1">
      <c r="A84" s="58"/>
    </row>
    <row r="85" spans="1:1">
      <c r="A85" s="58"/>
    </row>
    <row r="86" spans="1:1">
      <c r="A86" s="58"/>
    </row>
    <row r="87" spans="1:1">
      <c r="A87" s="58"/>
    </row>
    <row r="88" spans="1:1">
      <c r="A88" s="58"/>
    </row>
    <row r="89" spans="1:1">
      <c r="A89" s="58"/>
    </row>
    <row r="90" spans="1:1">
      <c r="A90" s="58"/>
    </row>
    <row r="91" spans="1:1">
      <c r="A91" s="58"/>
    </row>
    <row r="92" spans="1:1">
      <c r="A92" s="58"/>
    </row>
    <row r="93" spans="1:1">
      <c r="A93" s="58"/>
    </row>
    <row r="94" spans="1:1">
      <c r="A94" s="58"/>
    </row>
    <row r="95" spans="1:1">
      <c r="A95" s="58"/>
    </row>
    <row r="96" spans="1:1">
      <c r="A96" s="58"/>
    </row>
    <row r="97" spans="1:1">
      <c r="A97" s="58"/>
    </row>
    <row r="98" spans="1:1">
      <c r="A98" s="58"/>
    </row>
    <row r="99" spans="1:1">
      <c r="A99" s="58"/>
    </row>
    <row r="100" spans="1:1">
      <c r="A100" s="58"/>
    </row>
    <row r="101" spans="1:1">
      <c r="A101" s="58"/>
    </row>
    <row r="102" spans="1:1">
      <c r="A102" s="58"/>
    </row>
    <row r="103" spans="1:1">
      <c r="A103" s="58"/>
    </row>
    <row r="104" spans="1:1">
      <c r="A104" s="58"/>
    </row>
    <row r="105" spans="1:1">
      <c r="A105" s="58"/>
    </row>
    <row r="106" spans="1:1">
      <c r="A106" s="58"/>
    </row>
    <row r="107" spans="1:1">
      <c r="A107" s="58"/>
    </row>
    <row r="108" spans="1:1">
      <c r="A108" s="58"/>
    </row>
    <row r="109" spans="1:1">
      <c r="A109" s="58"/>
    </row>
  </sheetData>
  <mergeCells count="165">
    <mergeCell ref="A1:B1"/>
    <mergeCell ref="A2:B2"/>
    <mergeCell ref="F2:G2"/>
    <mergeCell ref="A3:B3"/>
    <mergeCell ref="F3:G3"/>
    <mergeCell ref="A4:B4"/>
    <mergeCell ref="F4:G4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AD30:AE30"/>
    <mergeCell ref="AF30:AG30"/>
    <mergeCell ref="C31:D31"/>
    <mergeCell ref="E31:F31"/>
    <mergeCell ref="AD31:AE31"/>
    <mergeCell ref="AF31:AG31"/>
    <mergeCell ref="C32:D32"/>
    <mergeCell ref="E32:F32"/>
    <mergeCell ref="AD32:AE32"/>
    <mergeCell ref="AF32:AG32"/>
    <mergeCell ref="C33:D33"/>
    <mergeCell ref="E33:F33"/>
    <mergeCell ref="AD33:AE33"/>
    <mergeCell ref="AF33:AG33"/>
    <mergeCell ref="C34:D34"/>
    <mergeCell ref="E34:F34"/>
    <mergeCell ref="AD34:AE34"/>
    <mergeCell ref="AF34:AG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E82:F82"/>
    <mergeCell ref="G82:H82"/>
    <mergeCell ref="E83:F83"/>
    <mergeCell ref="G83:H83"/>
    <mergeCell ref="A16:A83"/>
    <mergeCell ref="B20:B28"/>
    <mergeCell ref="B29:B38"/>
    <mergeCell ref="B39:B55"/>
    <mergeCell ref="B56:B63"/>
    <mergeCell ref="B64:B72"/>
    <mergeCell ref="B73:B79"/>
    <mergeCell ref="B80:B81"/>
    <mergeCell ref="B82:D83"/>
  </mergeCells>
  <pageMargins left="0.7" right="0.7" top="0.75" bottom="0.75" header="0.3" footer="0.3"/>
  <pageSetup paperSize="1" orientation="portrait" horizontalDpi="1200" verticalDpi="12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K12"/>
  <sheetViews>
    <sheetView workbookViewId="0">
      <selection activeCell="H7" sqref="H7"/>
    </sheetView>
  </sheetViews>
  <sheetFormatPr defaultColWidth="9" defaultRowHeight="15"/>
  <cols>
    <col min="2" max="11" width="10" customWidth="1"/>
  </cols>
  <sheetData>
    <row r="1" ht="16.5" spans="1:11">
      <c r="A1" s="1" t="s">
        <v>251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6.5" spans="1:11">
      <c r="A2" s="2"/>
      <c r="B2" s="1" t="s">
        <v>27</v>
      </c>
      <c r="C2" s="1"/>
      <c r="D2" s="1" t="s">
        <v>32</v>
      </c>
      <c r="E2" s="1"/>
      <c r="F2" s="1" t="s">
        <v>29</v>
      </c>
      <c r="G2" s="1"/>
      <c r="H2" s="1" t="s">
        <v>130</v>
      </c>
      <c r="I2" s="1"/>
      <c r="J2" s="1" t="s">
        <v>132</v>
      </c>
      <c r="K2" s="1"/>
    </row>
    <row r="3" ht="16.5" spans="1:11">
      <c r="A3" s="2"/>
      <c r="B3" s="1" t="s">
        <v>12</v>
      </c>
      <c r="C3" s="1" t="s">
        <v>13</v>
      </c>
      <c r="D3" s="1" t="s">
        <v>12</v>
      </c>
      <c r="E3" s="1" t="s">
        <v>13</v>
      </c>
      <c r="F3" s="1" t="s">
        <v>12</v>
      </c>
      <c r="G3" s="1" t="s">
        <v>13</v>
      </c>
      <c r="H3" s="1" t="s">
        <v>12</v>
      </c>
      <c r="I3" s="1" t="s">
        <v>13</v>
      </c>
      <c r="J3" s="1" t="s">
        <v>12</v>
      </c>
      <c r="K3" s="1" t="s">
        <v>13</v>
      </c>
    </row>
    <row r="4" ht="16.5" spans="1:11">
      <c r="A4" s="3" t="s">
        <v>3</v>
      </c>
      <c r="B4" s="4">
        <f ca="1">'Sprint 1'!$D$8</f>
        <v>30.4</v>
      </c>
      <c r="C4" s="4">
        <f ca="1">'Sprint 1'!$E$8</f>
        <v>33.9</v>
      </c>
      <c r="D4" s="4">
        <f ca="1">'Sprint 1'!$D$9</f>
        <v>53.9</v>
      </c>
      <c r="E4" s="4">
        <f ca="1">'Sprint 1'!$E$9</f>
        <v>57.4</v>
      </c>
      <c r="F4" s="4">
        <f ca="1">'Sprint 1'!$D$10</f>
        <v>47.4</v>
      </c>
      <c r="G4" s="4">
        <f ca="1">'Sprint 1'!$E$10</f>
        <v>49.9</v>
      </c>
      <c r="H4" s="4">
        <f ca="1">'Sprint 1'!$D$11</f>
        <v>6.4</v>
      </c>
      <c r="I4" s="4">
        <f ca="1">'Sprint 1'!$E$11</f>
        <v>8.4</v>
      </c>
      <c r="J4" s="4">
        <f ca="1">'Sprint 1'!$D$12</f>
        <v>8.9</v>
      </c>
      <c r="K4" s="4">
        <f ca="1">'Sprint 1'!$E$12</f>
        <v>11.4</v>
      </c>
    </row>
    <row r="5" ht="16.5" spans="1:11">
      <c r="A5" s="3" t="s">
        <v>116</v>
      </c>
      <c r="B5" s="4">
        <f ca="1">'Sprint 2'!$D$8</f>
        <v>25.5</v>
      </c>
      <c r="C5" s="4">
        <f ca="1">'Sprint 2'!$E$8</f>
        <v>28.5</v>
      </c>
      <c r="D5" s="4">
        <f ca="1">'Sprint 2'!$D$9</f>
        <v>49</v>
      </c>
      <c r="E5" s="4">
        <f ca="1">'Sprint 2'!$E$9</f>
        <v>51.5</v>
      </c>
      <c r="F5" s="4">
        <f ca="1">'Sprint 2'!$D$10</f>
        <v>27</v>
      </c>
      <c r="G5" s="4">
        <f ca="1">'Sprint 2'!$E$10</f>
        <v>26</v>
      </c>
      <c r="H5" s="4">
        <f ca="1">'Sprint 2'!$D$11</f>
        <v>39</v>
      </c>
      <c r="I5" s="4">
        <f ca="1">'Sprint 2'!$E$11</f>
        <v>42.5</v>
      </c>
      <c r="J5" s="4">
        <f ca="1">'Sprint 2'!$D$12</f>
        <v>29.5</v>
      </c>
      <c r="K5" s="4">
        <f ca="1">'Sprint 2'!$E$12</f>
        <v>31.5</v>
      </c>
    </row>
    <row r="6" ht="16.5" spans="1:11">
      <c r="A6" s="3" t="s">
        <v>192</v>
      </c>
      <c r="B6" s="4">
        <f ca="1">'Sprint 3'!$D$8</f>
        <v>24.8</v>
      </c>
      <c r="C6" s="4">
        <f ca="1">'Sprint 3'!$E$8</f>
        <v>29.4</v>
      </c>
      <c r="D6" s="4">
        <f ca="1">'Sprint 3'!$D$9</f>
        <v>32.3</v>
      </c>
      <c r="E6" s="4">
        <f ca="1">'Sprint 3'!$E$9</f>
        <v>34.4</v>
      </c>
      <c r="F6" s="4">
        <f ca="1">'Sprint 3'!$D$10</f>
        <v>24.8</v>
      </c>
      <c r="G6" s="4">
        <f ca="1">'Sprint 3'!$E$10</f>
        <v>26.4</v>
      </c>
      <c r="H6" s="4">
        <f ca="1">'Sprint 3'!$D$11</f>
        <v>34.3</v>
      </c>
      <c r="I6" s="4">
        <f ca="1">'Sprint 3'!$E$11</f>
        <v>36.4</v>
      </c>
      <c r="J6" s="4">
        <f ca="1">'Sprint 3'!$D$12</f>
        <v>32.8</v>
      </c>
      <c r="K6" s="4">
        <f ca="1">'Sprint 3'!$E$12</f>
        <v>36.4</v>
      </c>
    </row>
    <row r="7" ht="16.5" spans="1:11">
      <c r="A7" s="5" t="s">
        <v>19</v>
      </c>
      <c r="B7" s="6">
        <f ca="1">SUM(B4:B6)</f>
        <v>80.7</v>
      </c>
      <c r="C7" s="6">
        <f ca="1" t="shared" ref="C7:K7" si="0">SUM(C4:C6)</f>
        <v>91.8</v>
      </c>
      <c r="D7" s="6">
        <f ca="1" t="shared" si="0"/>
        <v>135.2</v>
      </c>
      <c r="E7" s="6">
        <f ca="1" t="shared" si="0"/>
        <v>143.3</v>
      </c>
      <c r="F7" s="6">
        <f ca="1" t="shared" si="0"/>
        <v>99.2</v>
      </c>
      <c r="G7" s="6">
        <f ca="1" t="shared" si="0"/>
        <v>102.3</v>
      </c>
      <c r="H7" s="6">
        <f ca="1" t="shared" si="0"/>
        <v>79.7</v>
      </c>
      <c r="I7" s="6">
        <f ca="1" t="shared" si="0"/>
        <v>87.3</v>
      </c>
      <c r="J7" s="6">
        <f ca="1" t="shared" si="0"/>
        <v>71.2</v>
      </c>
      <c r="K7" s="6">
        <f ca="1" t="shared" si="0"/>
        <v>79.3</v>
      </c>
    </row>
    <row r="10" ht="16.5" spans="5:6">
      <c r="E10" s="2" t="s">
        <v>252</v>
      </c>
      <c r="F10" s="2"/>
    </row>
    <row r="11" ht="16.5" spans="5:6">
      <c r="E11" s="7" t="s">
        <v>12</v>
      </c>
      <c r="F11" s="8">
        <f ca="1">SUMIF($B$3:$K$3,"Thực tế",$B$7:$K$7)</f>
        <v>466</v>
      </c>
    </row>
    <row r="12" ht="16.5" spans="5:6">
      <c r="E12" s="7" t="s">
        <v>13</v>
      </c>
      <c r="F12" s="8">
        <f ca="1">SUMIF($B$3:$K$3,"Ước tính",$B$7:$K$7)</f>
        <v>504</v>
      </c>
    </row>
  </sheetData>
  <mergeCells count="8">
    <mergeCell ref="A1:K1"/>
    <mergeCell ref="B2:C2"/>
    <mergeCell ref="D2:E2"/>
    <mergeCell ref="F2:G2"/>
    <mergeCell ref="H2:I2"/>
    <mergeCell ref="J2:K2"/>
    <mergeCell ref="E10:F10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Phu Vo</cp:lastModifiedBy>
  <dcterms:created xsi:type="dcterms:W3CDTF">2021-04-23T08:05:00Z</dcterms:created>
  <dcterms:modified xsi:type="dcterms:W3CDTF">2026-05-06T06:03:01Z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8B7E3C7EB25F4F61B4B72D4CF8F5FB24_13</vt:lpwstr>
  </property>
  <property fmtid="{D5CDD505-2E9C-101B-9397-08002B2CF9AE}" pid="3" name="KSOProductBuildVer">
    <vt:lpwstr>1033-12.2.0.22549</vt:lpwstr>
  </property>
</Properties>
</file>